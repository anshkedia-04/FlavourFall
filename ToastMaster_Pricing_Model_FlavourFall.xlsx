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SH KEDIA\OneDrive\Desktop\STARTUP\FlavourFall\"/>
    </mc:Choice>
  </mc:AlternateContent>
  <xr:revisionPtr revIDLastSave="0" documentId="13_ncr:1_{15A61FE9-A0C4-4BEC-8CFC-3B77B6AE2203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📋 Pricing Summary" sheetId="1" r:id="rId1"/>
    <sheet name="🧮 Quote Calculator" sheetId="2" r:id="rId2"/>
    <sheet name="📈 ROI for FlavourFall" sheetId="3" r:id="rId3"/>
    <sheet name="💰 Plan Detail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9" i="4" l="1"/>
  <c r="D48" i="4"/>
  <c r="D47" i="4"/>
  <c r="D46" i="4"/>
  <c r="D45" i="4"/>
  <c r="D44" i="4"/>
  <c r="D43" i="4"/>
  <c r="D42" i="4"/>
  <c r="D41" i="4"/>
  <c r="D26" i="3"/>
  <c r="D21" i="3"/>
  <c r="D20" i="3"/>
  <c r="D19" i="3"/>
  <c r="D18" i="3"/>
  <c r="D17" i="3"/>
  <c r="D16" i="3"/>
  <c r="D12" i="3"/>
  <c r="D11" i="3"/>
  <c r="D10" i="3"/>
  <c r="D9" i="3"/>
  <c r="D8" i="3"/>
  <c r="D7" i="3"/>
  <c r="C56" i="2"/>
  <c r="C51" i="2"/>
  <c r="C46" i="2"/>
  <c r="C37" i="2"/>
  <c r="C35" i="2"/>
  <c r="C34" i="2"/>
  <c r="E30" i="2"/>
  <c r="C30" i="2"/>
  <c r="C26" i="2"/>
  <c r="C25" i="2"/>
  <c r="C24" i="2"/>
  <c r="C23" i="2"/>
  <c r="C22" i="2"/>
  <c r="C21" i="2"/>
  <c r="E17" i="2"/>
  <c r="C17" i="2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C52" i="2" l="1"/>
  <c r="D51" i="2"/>
  <c r="C50" i="2"/>
  <c r="D26" i="2"/>
  <c r="D25" i="2"/>
  <c r="D24" i="2"/>
  <c r="D23" i="2"/>
  <c r="F54" i="1"/>
  <c r="E54" i="1"/>
  <c r="D22" i="2"/>
  <c r="D21" i="2"/>
  <c r="D17" i="2"/>
  <c r="D50" i="2" s="1"/>
  <c r="F53" i="1"/>
  <c r="E53" i="1"/>
  <c r="F52" i="1"/>
  <c r="E52" i="1"/>
  <c r="F51" i="1"/>
  <c r="E51" i="1"/>
  <c r="F49" i="1"/>
  <c r="E49" i="1"/>
  <c r="F48" i="1"/>
  <c r="E48" i="1"/>
  <c r="D25" i="3"/>
  <c r="F50" i="1"/>
  <c r="E50" i="1"/>
  <c r="D30" i="2"/>
  <c r="D52" i="2" s="1"/>
  <c r="D29" i="3" l="1"/>
  <c r="D27" i="3"/>
  <c r="C53" i="2"/>
  <c r="D53" i="2"/>
  <c r="D28" i="3"/>
  <c r="C54" i="2" l="1"/>
  <c r="D54" i="2"/>
  <c r="C55" i="2" l="1"/>
  <c r="D55" i="2"/>
  <c r="C58" i="2" l="1"/>
  <c r="C57" i="2"/>
  <c r="D57" i="2"/>
  <c r="D58" i="2" l="1"/>
</calcChain>
</file>

<file path=xl/sharedStrings.xml><?xml version="1.0" encoding="utf-8"?>
<sst xmlns="http://schemas.openxmlformats.org/spreadsheetml/2006/main" count="514" uniqueCount="238">
  <si>
    <t>TOASTMASTER  —  ENTERPRISE PRICING MODEL</t>
  </si>
  <si>
    <t>FlavourFall Restaurant Group  |  6 Outlets  |  Confidential</t>
  </si>
  <si>
    <t>Colour Legend:</t>
  </si>
  <si>
    <t>Blue = Input (you can change)</t>
  </si>
  <si>
    <t>Grey = Label</t>
  </si>
  <si>
    <t>White = Formula (auto-calculated)</t>
  </si>
  <si>
    <t>Green = Totals / Key outputs</t>
  </si>
  <si>
    <t>CHOOSE YOUR PLAN</t>
  </si>
  <si>
    <t>Plan</t>
  </si>
  <si>
    <t>🥉 STARTER</t>
  </si>
  <si>
    <t>🥈 GROWTH</t>
  </si>
  <si>
    <t>🥇 ENTERPRISE</t>
  </si>
  <si>
    <t>⚡ CUSTOM</t>
  </si>
  <si>
    <t>Price</t>
  </si>
  <si>
    <t>₹14,999/mo</t>
  </si>
  <si>
    <t>₹24,999/mo</t>
  </si>
  <si>
    <t>₹39,999/mo</t>
  </si>
  <si>
    <t>On Request</t>
  </si>
  <si>
    <t>Outlets</t>
  </si>
  <si>
    <t>1 Outlet</t>
  </si>
  <si>
    <t>Up to 3 Outlets</t>
  </si>
  <si>
    <t>Up to 6 Outlets</t>
  </si>
  <si>
    <t>Unlimited Outlets</t>
  </si>
  <si>
    <t>Includes</t>
  </si>
  <si>
    <t>Core POS + KDS + Inventory</t>
  </si>
  <si>
    <t>Starter + Captain App + CRM + Reports</t>
  </si>
  <si>
    <t>All features + Central Dashboard + Aggregators + Offline</t>
  </si>
  <si>
    <t>Full white-label + Dedicated SLA + API access</t>
  </si>
  <si>
    <t>Best For</t>
  </si>
  <si>
    <t>Solo café / single branch</t>
  </si>
  <si>
    <t>Small chain (2–3 outlets)</t>
  </si>
  <si>
    <t>Chains like FlavourFall</t>
  </si>
  <si>
    <t>Large chains / Franchisors</t>
  </si>
  <si>
    <t>Recommended</t>
  </si>
  <si>
    <t>⭐ RECOMMENDED</t>
  </si>
  <si>
    <t>FEATURE AVAILABILITY BY PLAN</t>
  </si>
  <si>
    <t>Feature</t>
  </si>
  <si>
    <t>Starter</t>
  </si>
  <si>
    <t>Growth</t>
  </si>
  <si>
    <t>Enterprise</t>
  </si>
  <si>
    <t>Custom</t>
  </si>
  <si>
    <t>Core POS &amp; Billing</t>
  </si>
  <si>
    <t>✅</t>
  </si>
  <si>
    <t>Kitchen Display System (KDS)</t>
  </si>
  <si>
    <t>Menu Management</t>
  </si>
  <si>
    <t>Basic Inventory</t>
  </si>
  <si>
    <t>Staff Clock-in / Clock-out</t>
  </si>
  <si>
    <t>Basic CRM (single outlet)</t>
  </si>
  <si>
    <t>WhatsApp Receipt</t>
  </si>
  <si>
    <t>Reports (basic)</t>
  </si>
  <si>
    <t>Captain Tablet App</t>
  </si>
  <si>
    <t>❌</t>
  </si>
  <si>
    <t>Table / Floor Map</t>
  </si>
  <si>
    <t>Split Bill / Merge Tables</t>
  </si>
  <si>
    <t>Multi-outlet Dashboard</t>
  </si>
  <si>
    <t>Role Hierarchy (5 levels)</t>
  </si>
  <si>
    <t>Swiggy / Zomato Integration</t>
  </si>
  <si>
    <t>QR Self-Ordering</t>
  </si>
  <si>
    <t>Aggregator Reconciliation</t>
  </si>
  <si>
    <t>Offline PWA Mode</t>
  </si>
  <si>
    <t>Purchase Order Management</t>
  </si>
  <si>
    <t>Advanced Analytics (25+)</t>
  </si>
  <si>
    <t>Unified Cross-Outlet CRM</t>
  </si>
  <si>
    <t>Central Kitchen Module</t>
  </si>
  <si>
    <t>Full White-Label Branding</t>
  </si>
  <si>
    <t>Custom API Access</t>
  </si>
  <si>
    <t>Dedicated Support SLA</t>
  </si>
  <si>
    <t>SMS / WhatsApp Campaigns</t>
  </si>
  <si>
    <t>Add-on</t>
  </si>
  <si>
    <t>Wastage Logging</t>
  </si>
  <si>
    <t>PETPOOJA vs TOASTMASTER — 6-OUTLET ANNUAL COST</t>
  </si>
  <si>
    <t>Cost Component</t>
  </si>
  <si>
    <t>Petpooja (₹/yr)</t>
  </si>
  <si>
    <t>ToastMaster Enterprise (₹/yr)</t>
  </si>
  <si>
    <t>Saving (₹/yr)</t>
  </si>
  <si>
    <t>Saving (%)</t>
  </si>
  <si>
    <t>Base POS licence (6 outlets)</t>
  </si>
  <si>
    <t>Captain App add-on</t>
  </si>
  <si>
    <t>KDS add-on</t>
  </si>
  <si>
    <t>CRM / Loyalty add-on</t>
  </si>
  <si>
    <t>Analytics add-on</t>
  </si>
  <si>
    <t>Setup / Onboarding fee</t>
  </si>
  <si>
    <t>TOTAL ANNUAL SPEND</t>
  </si>
  <si>
    <t>TOASTMASTER — CUSTOM QUOTE CALCULATOR</t>
  </si>
  <si>
    <t>Change the BLUE cells to configure your exact quote for FlavourFall</t>
  </si>
  <si>
    <t>A.  YOUR CONFIGURATION</t>
  </si>
  <si>
    <t>Parameter</t>
  </si>
  <si>
    <t>Your Input</t>
  </si>
  <si>
    <t>Min</t>
  </si>
  <si>
    <t>Max</t>
  </si>
  <si>
    <t>Number of Outlets</t>
  </si>
  <si>
    <t>Number of Active Staff</t>
  </si>
  <si>
    <t>Avg Monthly Orders (per outlet)</t>
  </si>
  <si>
    <t>Number of Menu Items</t>
  </si>
  <si>
    <t>Aggregator Outlets (Swiggy/Zomato)</t>
  </si>
  <si>
    <t>Support Level (1=Basic 2=Priority 3=Dedicated)</t>
  </si>
  <si>
    <t>Contract Length in Months</t>
  </si>
  <si>
    <t>B.  BASE PLAN (auto-selected)</t>
  </si>
  <si>
    <t>Item</t>
  </si>
  <si>
    <t>Monthly (₹)</t>
  </si>
  <si>
    <t>Annual (₹)</t>
  </si>
  <si>
    <t>Note</t>
  </si>
  <si>
    <t>Base Platform Licence</t>
  </si>
  <si>
    <t>C.  ADD-ON MODULES</t>
  </si>
  <si>
    <t>Basis</t>
  </si>
  <si>
    <t>WhatsApp &amp; SMS Marketing Campaigns</t>
  </si>
  <si>
    <t>Per account</t>
  </si>
  <si>
    <t>Scan &amp; QR Self-Ordering</t>
  </si>
  <si>
    <t>Per outlet</t>
  </si>
  <si>
    <t>Aggregator Integration (Swiggy/Zomato)</t>
  </si>
  <si>
    <t>Per aggregator outlet × outlets</t>
  </si>
  <si>
    <t>Loyalty &amp; CRM Advanced</t>
  </si>
  <si>
    <t>Recipe Cost &amp; Margin Tracker</t>
  </si>
  <si>
    <t>Hardware Support AMC</t>
  </si>
  <si>
    <t>Per outlet × outlets</t>
  </si>
  <si>
    <t>D.  SUPPORT &amp; SLA TIER</t>
  </si>
  <si>
    <t>Support Tier</t>
  </si>
  <si>
    <t>Support Package (based on level chosen)</t>
  </si>
  <si>
    <t>E.  SETUP, ONBOARDING &amp; TRAINING (One-time)</t>
  </si>
  <si>
    <t>One-Time (₹)</t>
  </si>
  <si>
    <t>Data Migration &amp; Setup</t>
  </si>
  <si>
    <t>Staff Training (on-site)</t>
  </si>
  <si>
    <t>Menu Upload &amp; Configuration</t>
  </si>
  <si>
    <t>4999</t>
  </si>
  <si>
    <t>Hardware Config &amp; Testing</t>
  </si>
  <si>
    <t>F.  DISCOUNTS &amp; NEGOTIATIONS</t>
  </si>
  <si>
    <t>Discount Type</t>
  </si>
  <si>
    <t>Rate (%)</t>
  </si>
  <si>
    <t>Amount (₹/yr saved)</t>
  </si>
  <si>
    <t>Condition</t>
  </si>
  <si>
    <t>Annual Pre-payment Discount</t>
  </si>
  <si>
    <t>Pay 12 months upfront</t>
  </si>
  <si>
    <t>Multi-outlet Discount (6+)</t>
  </si>
  <si>
    <t>Auto-applied for 6 outlets</t>
  </si>
  <si>
    <t>Long-term Contract (24 months)</t>
  </si>
  <si>
    <t>Lock-in for 2 years</t>
  </si>
  <si>
    <t>Competitor Switch Incentive</t>
  </si>
  <si>
    <t>Migrating from Petpooja</t>
  </si>
  <si>
    <t>Custom Negotiation Buffer</t>
  </si>
  <si>
    <t>Sales discretion</t>
  </si>
  <si>
    <t>Combined Discount (capped at 30%)</t>
  </si>
  <si>
    <t>G.  FINAL QUOTE SUMMARY</t>
  </si>
  <si>
    <t>Line Item</t>
  </si>
  <si>
    <t>Notes</t>
  </si>
  <si>
    <t>Auto-selected tier</t>
  </si>
  <si>
    <t>Add-on Modules Total</t>
  </si>
  <si>
    <t>All 6 add-ons</t>
  </si>
  <si>
    <t>Support &amp; SLA Package</t>
  </si>
  <si>
    <t>Level chosen above</t>
  </si>
  <si>
    <t>GROSS RECURRING (before discount)</t>
  </si>
  <si>
    <t>Discount Applied</t>
  </si>
  <si>
    <t>NET RECURRING PRICE</t>
  </si>
  <si>
    <t>After all discounts</t>
  </si>
  <si>
    <t>ONE-TIME SETUP TOTAL</t>
  </si>
  <si>
    <t>(one-time only)</t>
  </si>
  <si>
    <t>GST @ 18%</t>
  </si>
  <si>
    <t>TOTAL FIRST YEAR (incl. GST)</t>
  </si>
  <si>
    <t>← SHOW THIS TO CLIENT</t>
  </si>
  <si>
    <t>RETURN ON INVESTMENT — FLAVOURFALL (6 OUTLETS)</t>
  </si>
  <si>
    <t>How ToastMaster pays for itself  |  Blue cells = adjustable assumptions</t>
  </si>
  <si>
    <t>A.  REVENUE UPSIDE ESTIMATES</t>
  </si>
  <si>
    <t>Revenue Driver</t>
  </si>
  <si>
    <t>Assumption</t>
  </si>
  <si>
    <t>Annual Uplift (₹)</t>
  </si>
  <si>
    <t>Source / Note</t>
  </si>
  <si>
    <t>QR Self-Ordering → 8% more orders (less friction)</t>
  </si>
  <si>
    <t>Industry avg: 5-12% uplift</t>
  </si>
  <si>
    <t>Table turnover improves 15% (floor map efficiency)</t>
  </si>
  <si>
    <t>Restaurant ops research</t>
  </si>
  <si>
    <t>Aggregator Integration → 20% more delivery orders</t>
  </si>
  <si>
    <t>4 outlets on Swiggy/Zomato</t>
  </si>
  <si>
    <t>Loyalty CRM retains 10% more repeat customers</t>
  </si>
  <si>
    <t>LTV model assumption</t>
  </si>
  <si>
    <t>Upsell prompts in Captain App (avg ₹25 per order)</t>
  </si>
  <si>
    <t>Suggestive selling data</t>
  </si>
  <si>
    <t>TOTAL REVENUE UPSIDE (annual)</t>
  </si>
  <si>
    <t>B.  COST SAVINGS vs PETPOOJA</t>
  </si>
  <si>
    <t>Saving Category</t>
  </si>
  <si>
    <t>Annual Saving (₹)</t>
  </si>
  <si>
    <t>vs Petpooja</t>
  </si>
  <si>
    <t>Petpooja annual cost (6 outlets + add-ons)</t>
  </si>
  <si>
    <t>Current spend</t>
  </si>
  <si>
    <t>Petpooja total</t>
  </si>
  <si>
    <t>ToastMaster Enterprise annual cost</t>
  </si>
  <si>
    <t>New spend</t>
  </si>
  <si>
    <t>All-inclusive</t>
  </si>
  <si>
    <t>Staff time saved: 2h/day × 6 outlets × ₹150/h</t>
  </si>
  <si>
    <t>Admin automation</t>
  </si>
  <si>
    <t>Wastage reduction (2% of food cost)</t>
  </si>
  <si>
    <t>Recipe tracking</t>
  </si>
  <si>
    <t>Error/void reduction (0.5% of revenue)</t>
  </si>
  <si>
    <t>KOT audit trail</t>
  </si>
  <si>
    <t>NET COST SAVING (annual)</t>
  </si>
  <si>
    <t>C.  ROI SUMMARY</t>
  </si>
  <si>
    <t>Total Annual Benefit (Revenue + Savings)</t>
  </si>
  <si>
    <t>Total Annual ToastMaster Cost (incl. GST)</t>
  </si>
  <si>
    <t>NET ANNUAL BENEFIT</t>
  </si>
  <si>
    <t>Payback Period (months)</t>
  </si>
  <si>
    <t>3-Year ROI</t>
  </si>
  <si>
    <t>TOASTMASTER — DETAILED PLAN &amp; ADD-ON PRICING</t>
  </si>
  <si>
    <t>All prices in INR. GST extra. Prices valid for FY 2026-27.</t>
  </si>
  <si>
    <t>Monthly Price</t>
  </si>
  <si>
    <t>Outlets Included</t>
  </si>
  <si>
    <t>Up to 3</t>
  </si>
  <si>
    <t>Up to 6</t>
  </si>
  <si>
    <t>Unlimited</t>
  </si>
  <si>
    <t>Kitchen Display System</t>
  </si>
  <si>
    <t>Inventory + Recipe Builder</t>
  </si>
  <si>
    <t>Staff Clock-in / Attendance</t>
  </si>
  <si>
    <t>Basic Reports (10+)</t>
  </si>
  <si>
    <t>Demo &amp; Training Mode</t>
  </si>
  <si>
    <t>Floor Map &amp; Table Management</t>
  </si>
  <si>
    <t>KOT Multi-Station Printing</t>
  </si>
  <si>
    <t>Advanced Reports (25+)</t>
  </si>
  <si>
    <t>CRM — single outlet</t>
  </si>
  <si>
    <t>Multi-outlet Central Dashboard</t>
  </si>
  <si>
    <t>5-Level Role Hierarchy</t>
  </si>
  <si>
    <t>QR Dine-in Self-Ordering</t>
  </si>
  <si>
    <t>Aggregator Payout Reconciliation</t>
  </si>
  <si>
    <t>Offline-First PWA Mode</t>
  </si>
  <si>
    <t>PO &amp; Supplier Management</t>
  </si>
  <si>
    <t>Wastage &amp; Spoilage Logging</t>
  </si>
  <si>
    <t>Custom API / Webhooks</t>
  </si>
  <si>
    <t>Dedicated Customer Success Mgr</t>
  </si>
  <si>
    <t>ERP / Tally Integration</t>
  </si>
  <si>
    <t>ADD-ON MODULE PRICING (applicable to all plans)</t>
  </si>
  <si>
    <t>Add-on Module</t>
  </si>
  <si>
    <t>Available From</t>
  </si>
  <si>
    <t>WhatsApp &amp; SMS Campaigns</t>
  </si>
  <si>
    <t>Starter+</t>
  </si>
  <si>
    <t>Growth+</t>
  </si>
  <si>
    <t>Swiggy/Zomato Integration</t>
  </si>
  <si>
    <t>Per aggregator</t>
  </si>
  <si>
    <t>Advanced Loyalty &amp; CRM</t>
  </si>
  <si>
    <t>All plans</t>
  </si>
  <si>
    <t>Custom only</t>
  </si>
  <si>
    <t>Dedicated SLA Upgrade</t>
  </si>
  <si>
    <t>Per account/mo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</si>
</sst>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\₹#,##0;&quot;(₹&quot;#,##0\);\-"/>
    <numFmt numFmtId="167" formatCode="0.0"/>
  </numFmts>
  <fonts count="4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A1A2E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b/>
      <sz val="11"/>
      <color rgb="FF1A1A2E"/>
      <name val="Arial"/>
      <charset val="1"/>
    </font>
    <font>
      <b/>
      <sz val="13"/>
      <color rgb="FFE94560"/>
      <name val="Arial"/>
      <charset val="1"/>
    </font>
    <font>
      <b/>
      <sz val="13"/>
      <color rgb="FF1A73E8"/>
      <name val="Arial"/>
      <charset val="1"/>
    </font>
    <font>
      <b/>
      <sz val="13"/>
      <color rgb="FF27AE60"/>
      <name val="Arial"/>
      <charset val="1"/>
    </font>
    <font>
      <b/>
      <sz val="13"/>
      <color rgb="FFF5A623"/>
      <name val="Arial"/>
      <charset val="1"/>
    </font>
    <font>
      <sz val="9"/>
      <color rgb="FF555555"/>
      <name val="Arial"/>
      <charset val="1"/>
    </font>
    <font>
      <b/>
      <sz val="10"/>
      <color rgb="FF27AE60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b/>
      <sz val="10"/>
      <color rgb="FFE94560"/>
      <name val="Arial"/>
      <charset val="1"/>
    </font>
    <font>
      <b/>
      <sz val="10"/>
      <color rgb="FFF5A623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27AE60"/>
      <name val="Arial"/>
      <charset val="1"/>
    </font>
    <font>
      <b/>
      <sz val="14"/>
      <color rgb="FFFFFFFF"/>
      <name val="Arial"/>
      <charset val="1"/>
    </font>
    <font>
      <i/>
      <sz val="9"/>
      <color rgb="FF888888"/>
      <name val="Arial"/>
      <charset val="1"/>
    </font>
    <font>
      <b/>
      <sz val="10"/>
      <color rgb="FF000000"/>
      <name val="Arial"/>
      <charset val="1"/>
    </font>
    <font>
      <b/>
      <sz val="9"/>
      <color rgb="FFF5A623"/>
      <name val="Arial"/>
      <charset val="1"/>
    </font>
    <font>
      <i/>
      <sz val="9"/>
      <color rgb="FF555555"/>
      <name val="Arial"/>
      <charset val="1"/>
    </font>
    <font>
      <sz val="9"/>
      <color rgb="FF888888"/>
      <name val="Arial"/>
      <charset val="1"/>
    </font>
    <font>
      <sz val="10"/>
      <color rgb="FFE94560"/>
      <name val="Arial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4"/>
      <color rgb="FFF5A623"/>
      <name val="Arial"/>
      <charset val="1"/>
    </font>
    <font>
      <b/>
      <sz val="12"/>
      <color rgb="FF27AE60"/>
      <name val="Arial"/>
      <charset val="1"/>
    </font>
    <font>
      <b/>
      <sz val="12"/>
      <color rgb="FFF5A623"/>
      <name val="Arial"/>
      <charset val="1"/>
    </font>
    <font>
      <b/>
      <sz val="12"/>
      <color rgb="FF1A1A2E"/>
      <name val="Arial"/>
      <charset val="1"/>
    </font>
    <font>
      <b/>
      <sz val="14"/>
      <color rgb="FFE94560"/>
      <name val="Arial"/>
      <charset val="1"/>
    </font>
    <font>
      <b/>
      <sz val="14"/>
      <color rgb="FF1A73E8"/>
      <name val="Arial"/>
      <charset val="1"/>
    </font>
    <font>
      <b/>
      <sz val="14"/>
      <color rgb="FF27AE60"/>
      <name val="Arial"/>
      <charset val="1"/>
    </font>
    <font>
      <sz val="10"/>
      <color rgb="FF555555"/>
      <name val="Arial"/>
      <charset val="1"/>
    </font>
    <font>
      <b/>
      <sz val="11"/>
      <color rgb="FFE94560"/>
      <name val="Arial"/>
      <charset val="1"/>
    </font>
    <font>
      <b/>
      <sz val="9"/>
      <color rgb="FF27AE60"/>
      <name val="Arial"/>
      <charset val="1"/>
    </font>
    <font>
      <b/>
      <sz val="9"/>
      <color rgb="FFE9456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94560"/>
        <bgColor rgb="FF993366"/>
      </patternFill>
    </fill>
    <fill>
      <patternFill patternType="solid">
        <fgColor rgb="FFFFFFFF"/>
        <bgColor rgb="FFF8F9FA"/>
      </patternFill>
    </fill>
    <fill>
      <patternFill patternType="solid">
        <fgColor rgb="FFEBF5FB"/>
        <bgColor rgb="FFEEF2FF"/>
      </patternFill>
    </fill>
    <fill>
      <patternFill patternType="solid">
        <fgColor rgb="FFF4F6FA"/>
        <bgColor rgb="FFF8F9FA"/>
      </patternFill>
    </fill>
    <fill>
      <patternFill patternType="solid">
        <fgColor rgb="FFF0FFF4"/>
        <bgColor rgb="FFF8F9FA"/>
      </patternFill>
    </fill>
    <fill>
      <patternFill patternType="solid">
        <fgColor rgb="FFEEF2FF"/>
        <bgColor rgb="FFEBF5FB"/>
      </patternFill>
    </fill>
    <fill>
      <patternFill patternType="solid">
        <fgColor rgb="FF1A73E8"/>
        <bgColor rgb="FF0066CC"/>
      </patternFill>
    </fill>
    <fill>
      <patternFill patternType="solid">
        <fgColor rgb="FF27AE60"/>
        <bgColor rgb="FF008080"/>
      </patternFill>
    </fill>
    <fill>
      <patternFill patternType="solid">
        <fgColor rgb="FFF5A623"/>
        <bgColor rgb="FFFFCC00"/>
      </patternFill>
    </fill>
    <fill>
      <patternFill patternType="solid">
        <fgColor rgb="FFF8F9FA"/>
        <bgColor rgb="FFF4F6FA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  <diagonal/>
    </border>
    <border>
      <left style="thin">
        <color rgb="FF1A73E8"/>
      </left>
      <right style="thin">
        <color rgb="FF1A73E8"/>
      </right>
      <top style="thin">
        <color rgb="FF1A73E8"/>
      </top>
      <bottom style="thin">
        <color rgb="FF1A73E8"/>
      </bottom>
      <diagonal/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>
      <left style="thin">
        <color rgb="FFF5A623"/>
      </left>
      <right style="thin">
        <color rgb="FFF5A623"/>
      </right>
      <top style="thin">
        <color rgb="FFF5A623"/>
      </top>
      <bottom style="thin">
        <color rgb="FFF5A623"/>
      </bottom>
      <diagonal/>
    </border>
    <border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10" borderId="0" xfId="0" applyFont="1" applyFill="1" applyAlignment="1">
      <alignment horizontal="left" vertical="center" indent="1"/>
    </xf>
    <xf numFmtId="0" fontId="2" fillId="11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 indent="1"/>
    </xf>
    <xf numFmtId="0" fontId="12" fillId="6" borderId="1" xfId="0" applyFont="1" applyFill="1" applyBorder="1" applyAlignment="1">
      <alignment horizontal="center" vertical="center"/>
    </xf>
    <xf numFmtId="0" fontId="0" fillId="4" borderId="0" xfId="0" applyFill="1"/>
    <xf numFmtId="0" fontId="14" fillId="4" borderId="1" xfId="0" applyFont="1" applyFill="1" applyBorder="1" applyAlignment="1">
      <alignment horizontal="left" vertical="center" indent="1"/>
    </xf>
    <xf numFmtId="0" fontId="12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64" fontId="17" fillId="5" borderId="1" xfId="0" applyNumberFormat="1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19" fillId="7" borderId="1" xfId="0" applyNumberFormat="1" applyFont="1" applyFill="1" applyBorder="1" applyAlignment="1">
      <alignment horizontal="center" vertical="center"/>
    </xf>
    <xf numFmtId="165" fontId="19" fillId="7" borderId="1" xfId="0" applyNumberFormat="1" applyFont="1" applyFill="1" applyBorder="1" applyAlignment="1">
      <alignment horizontal="center" vertical="center"/>
    </xf>
    <xf numFmtId="3" fontId="17" fillId="5" borderId="7" xfId="0" applyNumberFormat="1" applyFont="1" applyFill="1" applyBorder="1" applyAlignment="1">
      <alignment horizontal="center" vertical="center"/>
    </xf>
    <xf numFmtId="3" fontId="21" fillId="6" borderId="1" xfId="0" applyNumberFormat="1" applyFont="1" applyFill="1" applyBorder="1" applyAlignment="1">
      <alignment horizontal="center" vertical="center"/>
    </xf>
    <xf numFmtId="3" fontId="21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22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9" fontId="17" fillId="5" borderId="7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165" fontId="12" fillId="7" borderId="1" xfId="0" applyNumberFormat="1" applyFont="1" applyFill="1" applyBorder="1" applyAlignment="1">
      <alignment horizontal="center" vertical="center"/>
    </xf>
    <xf numFmtId="0" fontId="0" fillId="8" borderId="0" xfId="0" applyFill="1"/>
    <xf numFmtId="0" fontId="25" fillId="6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center"/>
    </xf>
    <xf numFmtId="164" fontId="22" fillId="8" borderId="1" xfId="0" applyNumberFormat="1" applyFont="1" applyFill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164" fontId="27" fillId="10" borderId="1" xfId="0" applyNumberFormat="1" applyFont="1" applyFill="1" applyBorder="1" applyAlignment="1">
      <alignment horizontal="center" vertical="center"/>
    </xf>
    <xf numFmtId="0" fontId="28" fillId="10" borderId="4" xfId="0" applyFont="1" applyFill="1" applyBorder="1" applyAlignment="1">
      <alignment horizontal="left" vertical="center"/>
    </xf>
    <xf numFmtId="0" fontId="21" fillId="8" borderId="1" xfId="0" applyFont="1" applyFill="1" applyBorder="1" applyAlignment="1">
      <alignment horizontal="center" vertical="center"/>
    </xf>
    <xf numFmtId="0" fontId="0" fillId="6" borderId="0" xfId="0" applyFill="1"/>
    <xf numFmtId="0" fontId="29" fillId="2" borderId="1" xfId="0" applyFont="1" applyFill="1" applyBorder="1" applyAlignment="1">
      <alignment horizontal="left" vertical="center"/>
    </xf>
    <xf numFmtId="164" fontId="30" fillId="2" borderId="1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center"/>
    </xf>
    <xf numFmtId="166" fontId="18" fillId="6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 wrapText="1"/>
    </xf>
    <xf numFmtId="166" fontId="18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 wrapText="1"/>
    </xf>
    <xf numFmtId="164" fontId="18" fillId="8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  <xf numFmtId="165" fontId="17" fillId="5" borderId="7" xfId="0" applyNumberFormat="1" applyFont="1" applyFill="1" applyBorder="1" applyAlignment="1">
      <alignment horizontal="center" vertical="center"/>
    </xf>
    <xf numFmtId="166" fontId="19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166" fontId="31" fillId="7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66" fontId="26" fillId="4" borderId="1" xfId="0" applyNumberFormat="1" applyFont="1" applyFill="1" applyBorder="1" applyAlignment="1">
      <alignment horizontal="center" vertical="center"/>
    </xf>
    <xf numFmtId="166" fontId="32" fillId="7" borderId="1" xfId="0" applyNumberFormat="1" applyFont="1" applyFill="1" applyBorder="1" applyAlignment="1">
      <alignment horizontal="center" vertical="center"/>
    </xf>
    <xf numFmtId="167" fontId="33" fillId="7" borderId="1" xfId="0" applyNumberFormat="1" applyFont="1" applyFill="1" applyBorder="1" applyAlignment="1">
      <alignment horizontal="center" vertical="center"/>
    </xf>
    <xf numFmtId="167" fontId="31" fillId="7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34" fillId="12" borderId="2" xfId="0" applyFont="1" applyFill="1" applyBorder="1" applyAlignment="1">
      <alignment horizontal="center" vertical="center"/>
    </xf>
    <xf numFmtId="0" fontId="35" fillId="12" borderId="3" xfId="0" applyFont="1" applyFill="1" applyBorder="1" applyAlignment="1">
      <alignment horizontal="center" vertical="center"/>
    </xf>
    <xf numFmtId="0" fontId="36" fillId="12" borderId="4" xfId="0" applyFont="1" applyFill="1" applyBorder="1" applyAlignment="1">
      <alignment horizontal="center" vertical="center"/>
    </xf>
    <xf numFmtId="0" fontId="30" fillId="12" borderId="5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37" fillId="8" borderId="4" xfId="0" applyFont="1" applyFill="1" applyBorder="1" applyAlignment="1">
      <alignment horizontal="center" vertical="center"/>
    </xf>
    <xf numFmtId="0" fontId="37" fillId="8" borderId="5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164" fontId="17" fillId="5" borderId="7" xfId="0" applyNumberFormat="1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0FFF4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4F6FA"/>
      <rgbColor rgb="FFF8F9FA"/>
      <rgbColor rgb="FF90CAF9"/>
      <rgbColor rgb="FFFF99CC"/>
      <rgbColor rgb="FFCC99FF"/>
      <rgbColor rgb="FFFFCC99"/>
      <rgbColor rgb="FF1A73E8"/>
      <rgbColor rgb="FF33CCCC"/>
      <rgbColor rgb="FF99CC00"/>
      <rgbColor rgb="FFFFCC00"/>
      <rgbColor rgb="FFF5A623"/>
      <rgbColor rgb="FFE94560"/>
      <rgbColor rgb="FF555555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4"/>
  <sheetViews>
    <sheetView showGridLines="0" topLeftCell="B43" zoomScale="117" zoomScaleNormal="100" workbookViewId="0">
      <selection activeCell="B8" sqref="B8:G8"/>
    </sheetView>
  </sheetViews>
  <sheetFormatPr defaultColWidth="8.6640625" defaultRowHeight="14.4" x14ac:dyDescent="0.3"/>
  <cols>
    <col min="1" max="1" width="3" customWidth="1"/>
    <col min="2" max="2" width="27.88671875" bestFit="1" customWidth="1"/>
    <col min="3" max="3" width="24" bestFit="1" customWidth="1"/>
    <col min="4" max="4" width="27.77734375" bestFit="1" customWidth="1"/>
    <col min="5" max="5" width="27" bestFit="1" customWidth="1"/>
    <col min="6" max="6" width="23.109375" bestFit="1" customWidth="1"/>
    <col min="7" max="7" width="22" customWidth="1"/>
    <col min="8" max="8" width="3" customWidth="1"/>
  </cols>
  <sheetData>
    <row r="1" spans="2:7" ht="12" customHeight="1" x14ac:dyDescent="0.3"/>
    <row r="2" spans="2:7" ht="36" customHeight="1" x14ac:dyDescent="0.3">
      <c r="B2" s="11" t="s">
        <v>0</v>
      </c>
      <c r="C2" s="11"/>
      <c r="D2" s="11"/>
      <c r="E2" s="11"/>
      <c r="F2" s="11"/>
      <c r="G2" s="11"/>
    </row>
    <row r="3" spans="2:7" ht="15" customHeight="1" x14ac:dyDescent="0.3">
      <c r="B3" s="11"/>
      <c r="C3" s="11"/>
      <c r="D3" s="11"/>
      <c r="E3" s="11"/>
      <c r="F3" s="11"/>
      <c r="G3" s="11"/>
    </row>
    <row r="4" spans="2:7" ht="24" customHeight="1" x14ac:dyDescent="0.3">
      <c r="B4" s="10" t="s">
        <v>1</v>
      </c>
      <c r="C4" s="10"/>
      <c r="D4" s="10"/>
      <c r="E4" s="10"/>
      <c r="F4" s="10"/>
      <c r="G4" s="10"/>
    </row>
    <row r="6" spans="2:7" ht="18" customHeight="1" x14ac:dyDescent="0.3">
      <c r="B6" s="12" t="s">
        <v>2</v>
      </c>
      <c r="C6" s="13" t="s">
        <v>3</v>
      </c>
      <c r="D6" s="14" t="s">
        <v>4</v>
      </c>
      <c r="E6" s="15" t="s">
        <v>5</v>
      </c>
      <c r="F6" s="16" t="s">
        <v>6</v>
      </c>
    </row>
    <row r="8" spans="2:7" ht="21.75" customHeight="1" x14ac:dyDescent="0.3">
      <c r="B8" s="9" t="s">
        <v>7</v>
      </c>
      <c r="C8" s="9"/>
      <c r="D8" s="9"/>
      <c r="E8" s="9"/>
      <c r="F8" s="9"/>
      <c r="G8" s="9"/>
    </row>
    <row r="9" spans="2:7" ht="27.75" customHeight="1" x14ac:dyDescent="0.3">
      <c r="B9" s="17" t="s">
        <v>8</v>
      </c>
      <c r="C9" s="18" t="s">
        <v>9</v>
      </c>
      <c r="D9" s="19" t="s">
        <v>10</v>
      </c>
      <c r="E9" s="20" t="s">
        <v>11</v>
      </c>
      <c r="F9" s="21" t="s">
        <v>12</v>
      </c>
    </row>
    <row r="10" spans="2:7" ht="30" customHeight="1" x14ac:dyDescent="0.3">
      <c r="B10" s="17" t="s">
        <v>13</v>
      </c>
      <c r="C10" s="22" t="s">
        <v>14</v>
      </c>
      <c r="D10" s="23" t="s">
        <v>15</v>
      </c>
      <c r="E10" s="24" t="s">
        <v>16</v>
      </c>
      <c r="F10" s="25" t="s">
        <v>17</v>
      </c>
    </row>
    <row r="11" spans="2:7" ht="19.5" customHeight="1" x14ac:dyDescent="0.3">
      <c r="B11" s="17" t="s">
        <v>18</v>
      </c>
      <c r="C11" s="26" t="s">
        <v>19</v>
      </c>
      <c r="D11" s="27" t="s">
        <v>20</v>
      </c>
      <c r="E11" s="28" t="s">
        <v>21</v>
      </c>
      <c r="F11" s="29" t="s">
        <v>22</v>
      </c>
    </row>
    <row r="12" spans="2:7" ht="39.75" customHeight="1" x14ac:dyDescent="0.3">
      <c r="B12" s="17" t="s">
        <v>23</v>
      </c>
      <c r="C12" s="26" t="s">
        <v>24</v>
      </c>
      <c r="D12" s="27" t="s">
        <v>25</v>
      </c>
      <c r="E12" s="28" t="s">
        <v>26</v>
      </c>
      <c r="F12" s="29" t="s">
        <v>27</v>
      </c>
    </row>
    <row r="13" spans="2:7" ht="19.5" customHeight="1" x14ac:dyDescent="0.3">
      <c r="B13" s="17" t="s">
        <v>28</v>
      </c>
      <c r="C13" s="26" t="s">
        <v>29</v>
      </c>
      <c r="D13" s="27" t="s">
        <v>30</v>
      </c>
      <c r="E13" s="28" t="s">
        <v>31</v>
      </c>
      <c r="F13" s="29" t="s">
        <v>32</v>
      </c>
    </row>
    <row r="14" spans="2:7" ht="19.5" customHeight="1" x14ac:dyDescent="0.3">
      <c r="B14" s="17" t="s">
        <v>33</v>
      </c>
      <c r="C14" s="26"/>
      <c r="D14" s="27"/>
      <c r="E14" s="30" t="s">
        <v>34</v>
      </c>
      <c r="F14" s="29"/>
    </row>
    <row r="16" spans="2:7" ht="21.75" customHeight="1" x14ac:dyDescent="0.3">
      <c r="B16" s="8" t="s">
        <v>35</v>
      </c>
      <c r="C16" s="8"/>
      <c r="D16" s="8"/>
      <c r="E16" s="8"/>
      <c r="F16" s="8"/>
      <c r="G16" s="8"/>
    </row>
    <row r="17" spans="2:7" ht="21.75" customHeight="1" x14ac:dyDescent="0.3">
      <c r="B17" s="31" t="s">
        <v>36</v>
      </c>
      <c r="C17" s="31" t="s">
        <v>37</v>
      </c>
      <c r="D17" s="31" t="s">
        <v>38</v>
      </c>
      <c r="E17" s="31" t="s">
        <v>39</v>
      </c>
      <c r="F17" s="31" t="s">
        <v>40</v>
      </c>
      <c r="G17" s="31"/>
    </row>
    <row r="18" spans="2:7" ht="18" customHeight="1" x14ac:dyDescent="0.3">
      <c r="B18" s="32" t="s">
        <v>41</v>
      </c>
      <c r="C18" s="33" t="s">
        <v>42</v>
      </c>
      <c r="D18" s="33" t="s">
        <v>42</v>
      </c>
      <c r="E18" s="33" t="s">
        <v>42</v>
      </c>
      <c r="F18" s="33" t="s">
        <v>42</v>
      </c>
      <c r="G18" s="34"/>
    </row>
    <row r="19" spans="2:7" ht="18" customHeight="1" x14ac:dyDescent="0.3">
      <c r="B19" s="35" t="s">
        <v>43</v>
      </c>
      <c r="C19" s="36" t="s">
        <v>42</v>
      </c>
      <c r="D19" s="36" t="s">
        <v>42</v>
      </c>
      <c r="E19" s="36" t="s">
        <v>42</v>
      </c>
      <c r="F19" s="36" t="s">
        <v>42</v>
      </c>
      <c r="G19" s="34"/>
    </row>
    <row r="20" spans="2:7" ht="18" customHeight="1" x14ac:dyDescent="0.3">
      <c r="B20" s="32" t="s">
        <v>44</v>
      </c>
      <c r="C20" s="33" t="s">
        <v>42</v>
      </c>
      <c r="D20" s="33" t="s">
        <v>42</v>
      </c>
      <c r="E20" s="33" t="s">
        <v>42</v>
      </c>
      <c r="F20" s="33" t="s">
        <v>42</v>
      </c>
      <c r="G20" s="34"/>
    </row>
    <row r="21" spans="2:7" ht="18" customHeight="1" x14ac:dyDescent="0.3">
      <c r="B21" s="35" t="s">
        <v>45</v>
      </c>
      <c r="C21" s="36" t="s">
        <v>42</v>
      </c>
      <c r="D21" s="36" t="s">
        <v>42</v>
      </c>
      <c r="E21" s="36" t="s">
        <v>42</v>
      </c>
      <c r="F21" s="36" t="s">
        <v>42</v>
      </c>
      <c r="G21" s="34"/>
    </row>
    <row r="22" spans="2:7" ht="18" customHeight="1" x14ac:dyDescent="0.3">
      <c r="B22" s="32" t="s">
        <v>46</v>
      </c>
      <c r="C22" s="33" t="s">
        <v>42</v>
      </c>
      <c r="D22" s="33" t="s">
        <v>42</v>
      </c>
      <c r="E22" s="33" t="s">
        <v>42</v>
      </c>
      <c r="F22" s="33" t="s">
        <v>42</v>
      </c>
      <c r="G22" s="34"/>
    </row>
    <row r="23" spans="2:7" ht="18" customHeight="1" x14ac:dyDescent="0.3">
      <c r="B23" s="35" t="s">
        <v>47</v>
      </c>
      <c r="C23" s="36" t="s">
        <v>42</v>
      </c>
      <c r="D23" s="36" t="s">
        <v>42</v>
      </c>
      <c r="E23" s="36" t="s">
        <v>42</v>
      </c>
      <c r="F23" s="36" t="s">
        <v>42</v>
      </c>
      <c r="G23" s="34"/>
    </row>
    <row r="24" spans="2:7" ht="18" customHeight="1" x14ac:dyDescent="0.3">
      <c r="B24" s="32" t="s">
        <v>48</v>
      </c>
      <c r="C24" s="33" t="s">
        <v>42</v>
      </c>
      <c r="D24" s="33" t="s">
        <v>42</v>
      </c>
      <c r="E24" s="33" t="s">
        <v>42</v>
      </c>
      <c r="F24" s="33" t="s">
        <v>42</v>
      </c>
      <c r="G24" s="34"/>
    </row>
    <row r="25" spans="2:7" ht="18" customHeight="1" x14ac:dyDescent="0.3">
      <c r="B25" s="35" t="s">
        <v>49</v>
      </c>
      <c r="C25" s="36" t="s">
        <v>42</v>
      </c>
      <c r="D25" s="36" t="s">
        <v>42</v>
      </c>
      <c r="E25" s="36" t="s">
        <v>42</v>
      </c>
      <c r="F25" s="36" t="s">
        <v>42</v>
      </c>
      <c r="G25" s="34"/>
    </row>
    <row r="26" spans="2:7" ht="18" customHeight="1" x14ac:dyDescent="0.3">
      <c r="B26" s="32" t="s">
        <v>50</v>
      </c>
      <c r="C26" s="37" t="s">
        <v>51</v>
      </c>
      <c r="D26" s="33" t="s">
        <v>42</v>
      </c>
      <c r="E26" s="33" t="s">
        <v>42</v>
      </c>
      <c r="F26" s="33" t="s">
        <v>42</v>
      </c>
      <c r="G26" s="34"/>
    </row>
    <row r="27" spans="2:7" ht="18" customHeight="1" x14ac:dyDescent="0.3">
      <c r="B27" s="35" t="s">
        <v>52</v>
      </c>
      <c r="C27" s="38" t="s">
        <v>51</v>
      </c>
      <c r="D27" s="36" t="s">
        <v>42</v>
      </c>
      <c r="E27" s="36" t="s">
        <v>42</v>
      </c>
      <c r="F27" s="36" t="s">
        <v>42</v>
      </c>
      <c r="G27" s="34"/>
    </row>
    <row r="28" spans="2:7" ht="18" customHeight="1" x14ac:dyDescent="0.3">
      <c r="B28" s="32" t="s">
        <v>53</v>
      </c>
      <c r="C28" s="37" t="s">
        <v>51</v>
      </c>
      <c r="D28" s="33" t="s">
        <v>42</v>
      </c>
      <c r="E28" s="33" t="s">
        <v>42</v>
      </c>
      <c r="F28" s="33" t="s">
        <v>42</v>
      </c>
      <c r="G28" s="34"/>
    </row>
    <row r="29" spans="2:7" ht="18" customHeight="1" x14ac:dyDescent="0.3">
      <c r="B29" s="35" t="s">
        <v>54</v>
      </c>
      <c r="C29" s="38" t="s">
        <v>51</v>
      </c>
      <c r="D29" s="38" t="s">
        <v>51</v>
      </c>
      <c r="E29" s="36" t="s">
        <v>42</v>
      </c>
      <c r="F29" s="36" t="s">
        <v>42</v>
      </c>
      <c r="G29" s="34"/>
    </row>
    <row r="30" spans="2:7" ht="18" customHeight="1" x14ac:dyDescent="0.3">
      <c r="B30" s="32" t="s">
        <v>55</v>
      </c>
      <c r="C30" s="37" t="s">
        <v>51</v>
      </c>
      <c r="D30" s="37" t="s">
        <v>51</v>
      </c>
      <c r="E30" s="33" t="s">
        <v>42</v>
      </c>
      <c r="F30" s="33" t="s">
        <v>42</v>
      </c>
      <c r="G30" s="34"/>
    </row>
    <row r="31" spans="2:7" ht="18" customHeight="1" x14ac:dyDescent="0.3">
      <c r="B31" s="35" t="s">
        <v>56</v>
      </c>
      <c r="C31" s="38" t="s">
        <v>51</v>
      </c>
      <c r="D31" s="38" t="s">
        <v>51</v>
      </c>
      <c r="E31" s="36" t="s">
        <v>42</v>
      </c>
      <c r="F31" s="36" t="s">
        <v>42</v>
      </c>
      <c r="G31" s="34"/>
    </row>
    <row r="32" spans="2:7" ht="18" customHeight="1" x14ac:dyDescent="0.3">
      <c r="B32" s="32" t="s">
        <v>57</v>
      </c>
      <c r="C32" s="37" t="s">
        <v>51</v>
      </c>
      <c r="D32" s="37" t="s">
        <v>51</v>
      </c>
      <c r="E32" s="33" t="s">
        <v>42</v>
      </c>
      <c r="F32" s="33" t="s">
        <v>42</v>
      </c>
      <c r="G32" s="34"/>
    </row>
    <row r="33" spans="2:7" ht="18" customHeight="1" x14ac:dyDescent="0.3">
      <c r="B33" s="35" t="s">
        <v>58</v>
      </c>
      <c r="C33" s="38" t="s">
        <v>51</v>
      </c>
      <c r="D33" s="38" t="s">
        <v>51</v>
      </c>
      <c r="E33" s="36" t="s">
        <v>42</v>
      </c>
      <c r="F33" s="36" t="s">
        <v>42</v>
      </c>
      <c r="G33" s="34"/>
    </row>
    <row r="34" spans="2:7" ht="18" customHeight="1" x14ac:dyDescent="0.3">
      <c r="B34" s="32" t="s">
        <v>59</v>
      </c>
      <c r="C34" s="37" t="s">
        <v>51</v>
      </c>
      <c r="D34" s="37" t="s">
        <v>51</v>
      </c>
      <c r="E34" s="33" t="s">
        <v>42</v>
      </c>
      <c r="F34" s="33" t="s">
        <v>42</v>
      </c>
      <c r="G34" s="34"/>
    </row>
    <row r="35" spans="2:7" ht="18" customHeight="1" x14ac:dyDescent="0.3">
      <c r="B35" s="35" t="s">
        <v>60</v>
      </c>
      <c r="C35" s="38" t="s">
        <v>51</v>
      </c>
      <c r="D35" s="38" t="s">
        <v>51</v>
      </c>
      <c r="E35" s="36" t="s">
        <v>42</v>
      </c>
      <c r="F35" s="36" t="s">
        <v>42</v>
      </c>
      <c r="G35" s="34"/>
    </row>
    <row r="36" spans="2:7" ht="18" customHeight="1" x14ac:dyDescent="0.3">
      <c r="B36" s="32" t="s">
        <v>61</v>
      </c>
      <c r="C36" s="37" t="s">
        <v>51</v>
      </c>
      <c r="D36" s="37" t="s">
        <v>51</v>
      </c>
      <c r="E36" s="33" t="s">
        <v>42</v>
      </c>
      <c r="F36" s="33" t="s">
        <v>42</v>
      </c>
      <c r="G36" s="34"/>
    </row>
    <row r="37" spans="2:7" ht="18" customHeight="1" x14ac:dyDescent="0.3">
      <c r="B37" s="35" t="s">
        <v>62</v>
      </c>
      <c r="C37" s="38" t="s">
        <v>51</v>
      </c>
      <c r="D37" s="38" t="s">
        <v>51</v>
      </c>
      <c r="E37" s="36" t="s">
        <v>42</v>
      </c>
      <c r="F37" s="36" t="s">
        <v>42</v>
      </c>
      <c r="G37" s="34"/>
    </row>
    <row r="38" spans="2:7" ht="18" customHeight="1" x14ac:dyDescent="0.3">
      <c r="B38" s="32" t="s">
        <v>63</v>
      </c>
      <c r="C38" s="37" t="s">
        <v>51</v>
      </c>
      <c r="D38" s="37" t="s">
        <v>51</v>
      </c>
      <c r="E38" s="37" t="s">
        <v>51</v>
      </c>
      <c r="F38" s="33" t="s">
        <v>42</v>
      </c>
      <c r="G38" s="34"/>
    </row>
    <row r="39" spans="2:7" ht="18" customHeight="1" x14ac:dyDescent="0.3">
      <c r="B39" s="35" t="s">
        <v>64</v>
      </c>
      <c r="C39" s="38" t="s">
        <v>51</v>
      </c>
      <c r="D39" s="38" t="s">
        <v>51</v>
      </c>
      <c r="E39" s="38" t="s">
        <v>51</v>
      </c>
      <c r="F39" s="36" t="s">
        <v>42</v>
      </c>
      <c r="G39" s="34"/>
    </row>
    <row r="40" spans="2:7" ht="18" customHeight="1" x14ac:dyDescent="0.3">
      <c r="B40" s="32" t="s">
        <v>65</v>
      </c>
      <c r="C40" s="37" t="s">
        <v>51</v>
      </c>
      <c r="D40" s="37" t="s">
        <v>51</v>
      </c>
      <c r="E40" s="37" t="s">
        <v>51</v>
      </c>
      <c r="F40" s="33" t="s">
        <v>42</v>
      </c>
      <c r="G40" s="34"/>
    </row>
    <row r="41" spans="2:7" ht="18" customHeight="1" x14ac:dyDescent="0.3">
      <c r="B41" s="35" t="s">
        <v>66</v>
      </c>
      <c r="C41" s="38" t="s">
        <v>51</v>
      </c>
      <c r="D41" s="38" t="s">
        <v>51</v>
      </c>
      <c r="E41" s="38" t="s">
        <v>51</v>
      </c>
      <c r="F41" s="36" t="s">
        <v>42</v>
      </c>
      <c r="G41" s="34"/>
    </row>
    <row r="42" spans="2:7" ht="18" customHeight="1" x14ac:dyDescent="0.3">
      <c r="B42" s="32" t="s">
        <v>67</v>
      </c>
      <c r="C42" s="39" t="s">
        <v>68</v>
      </c>
      <c r="D42" s="39" t="s">
        <v>68</v>
      </c>
      <c r="E42" s="33" t="s">
        <v>42</v>
      </c>
      <c r="F42" s="33" t="s">
        <v>42</v>
      </c>
      <c r="G42" s="34"/>
    </row>
    <row r="43" spans="2:7" ht="18" customHeight="1" x14ac:dyDescent="0.3">
      <c r="B43" s="35" t="s">
        <v>69</v>
      </c>
      <c r="C43" s="40" t="s">
        <v>68</v>
      </c>
      <c r="D43" s="40" t="s">
        <v>68</v>
      </c>
      <c r="E43" s="36" t="s">
        <v>42</v>
      </c>
      <c r="F43" s="36" t="s">
        <v>42</v>
      </c>
      <c r="G43" s="34"/>
    </row>
    <row r="46" spans="2:7" ht="21.75" customHeight="1" x14ac:dyDescent="0.3">
      <c r="B46" s="7" t="s">
        <v>70</v>
      </c>
      <c r="C46" s="7"/>
      <c r="D46" s="7"/>
      <c r="E46" s="7"/>
      <c r="F46" s="7"/>
      <c r="G46" s="7"/>
    </row>
    <row r="47" spans="2:7" ht="21.75" customHeight="1" x14ac:dyDescent="0.3">
      <c r="B47" s="31" t="s">
        <v>71</v>
      </c>
      <c r="C47" s="31" t="s">
        <v>72</v>
      </c>
      <c r="D47" s="31" t="s">
        <v>73</v>
      </c>
      <c r="E47" s="31" t="s">
        <v>74</v>
      </c>
      <c r="F47" s="31" t="s">
        <v>75</v>
      </c>
      <c r="G47" s="31"/>
    </row>
    <row r="48" spans="2:7" ht="18" customHeight="1" x14ac:dyDescent="0.3">
      <c r="B48" s="32" t="s">
        <v>76</v>
      </c>
      <c r="C48" s="41">
        <f>6*4000*12</f>
        <v>288000</v>
      </c>
      <c r="D48" s="41">
        <f>39999*12</f>
        <v>479988</v>
      </c>
      <c r="E48" s="42">
        <f t="shared" ref="E48:E54" si="0">C48-D48</f>
        <v>-191988</v>
      </c>
      <c r="F48" s="43">
        <f t="shared" ref="F48:F54" si="1">IFERROR((C48-D48)/C48,"")</f>
        <v>-0.66662500000000002</v>
      </c>
      <c r="G48" s="34"/>
    </row>
    <row r="49" spans="2:7" ht="18" customHeight="1" x14ac:dyDescent="0.3">
      <c r="B49" s="35" t="s">
        <v>77</v>
      </c>
      <c r="C49" s="41">
        <f>6*1200*12</f>
        <v>86400</v>
      </c>
      <c r="D49" s="41">
        <f>0</f>
        <v>0</v>
      </c>
      <c r="E49" s="44">
        <f t="shared" si="0"/>
        <v>86400</v>
      </c>
      <c r="F49" s="45">
        <f t="shared" si="1"/>
        <v>1</v>
      </c>
      <c r="G49" s="34"/>
    </row>
    <row r="50" spans="2:7" ht="18" customHeight="1" x14ac:dyDescent="0.3">
      <c r="B50" s="32" t="s">
        <v>78</v>
      </c>
      <c r="C50" s="41">
        <f>6*800*12</f>
        <v>57600</v>
      </c>
      <c r="D50" s="41">
        <f>0</f>
        <v>0</v>
      </c>
      <c r="E50" s="42">
        <f t="shared" si="0"/>
        <v>57600</v>
      </c>
      <c r="F50" s="43">
        <f t="shared" si="1"/>
        <v>1</v>
      </c>
      <c r="G50" s="34"/>
    </row>
    <row r="51" spans="2:7" ht="18" customHeight="1" x14ac:dyDescent="0.3">
      <c r="B51" s="35" t="s">
        <v>79</v>
      </c>
      <c r="C51" s="41">
        <f>6*1500*12</f>
        <v>108000</v>
      </c>
      <c r="D51" s="41">
        <f>0</f>
        <v>0</v>
      </c>
      <c r="E51" s="44">
        <f t="shared" si="0"/>
        <v>108000</v>
      </c>
      <c r="F51" s="45">
        <f t="shared" si="1"/>
        <v>1</v>
      </c>
      <c r="G51" s="34"/>
    </row>
    <row r="52" spans="2:7" ht="18" customHeight="1" x14ac:dyDescent="0.3">
      <c r="B52" s="32" t="s">
        <v>80</v>
      </c>
      <c r="C52" s="41">
        <f>6*500*12</f>
        <v>36000</v>
      </c>
      <c r="D52" s="41">
        <f>0</f>
        <v>0</v>
      </c>
      <c r="E52" s="42">
        <f t="shared" si="0"/>
        <v>36000</v>
      </c>
      <c r="F52" s="43">
        <f t="shared" si="1"/>
        <v>1</v>
      </c>
      <c r="G52" s="34"/>
    </row>
    <row r="53" spans="2:7" ht="18" customHeight="1" x14ac:dyDescent="0.3">
      <c r="B53" s="35" t="s">
        <v>81</v>
      </c>
      <c r="C53" s="41">
        <f>30000</f>
        <v>30000</v>
      </c>
      <c r="D53" s="41">
        <f>6*2500</f>
        <v>15000</v>
      </c>
      <c r="E53" s="44">
        <f t="shared" si="0"/>
        <v>15000</v>
      </c>
      <c r="F53" s="45">
        <f t="shared" si="1"/>
        <v>0.5</v>
      </c>
      <c r="G53" s="34"/>
    </row>
    <row r="54" spans="2:7" ht="21.75" customHeight="1" x14ac:dyDescent="0.3">
      <c r="B54" s="46" t="s">
        <v>82</v>
      </c>
      <c r="C54" s="47">
        <f>SUM(C48:C53)</f>
        <v>606000</v>
      </c>
      <c r="D54" s="48">
        <f>SUM(D48:D53)</f>
        <v>494988</v>
      </c>
      <c r="E54" s="49">
        <f t="shared" si="0"/>
        <v>111012</v>
      </c>
      <c r="F54" s="50">
        <f t="shared" si="1"/>
        <v>0.18318811881188118</v>
      </c>
      <c r="G54" s="34"/>
    </row>
  </sheetData>
  <mergeCells count="5">
    <mergeCell ref="B2:G3"/>
    <mergeCell ref="B4:G4"/>
    <mergeCell ref="B8:G8"/>
    <mergeCell ref="B16:G16"/>
    <mergeCell ref="B46:G4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58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36" customWidth="1"/>
    <col min="3" max="5" width="24" customWidth="1"/>
    <col min="6" max="6" width="3" customWidth="1"/>
  </cols>
  <sheetData>
    <row r="1" spans="2:5" ht="36" customHeight="1" x14ac:dyDescent="0.3">
      <c r="B1" s="6" t="s">
        <v>83</v>
      </c>
      <c r="C1" s="6"/>
      <c r="D1" s="6"/>
      <c r="E1" s="6"/>
    </row>
    <row r="2" spans="2:5" ht="15" customHeight="1" x14ac:dyDescent="0.3">
      <c r="B2" s="6"/>
      <c r="C2" s="6"/>
      <c r="D2" s="6"/>
      <c r="E2" s="6"/>
    </row>
    <row r="3" spans="2:5" ht="21.75" customHeight="1" x14ac:dyDescent="0.3">
      <c r="B3" s="5" t="s">
        <v>84</v>
      </c>
      <c r="C3" s="5"/>
      <c r="D3" s="5"/>
      <c r="E3" s="5"/>
    </row>
    <row r="5" spans="2:5" ht="19.5" customHeight="1" x14ac:dyDescent="0.3">
      <c r="B5" s="4" t="s">
        <v>85</v>
      </c>
      <c r="C5" s="4"/>
      <c r="D5" s="4"/>
      <c r="E5" s="4"/>
    </row>
    <row r="6" spans="2:5" ht="21.75" customHeight="1" x14ac:dyDescent="0.3">
      <c r="B6" s="31" t="s">
        <v>86</v>
      </c>
      <c r="C6" s="31" t="s">
        <v>87</v>
      </c>
      <c r="D6" s="31" t="s">
        <v>88</v>
      </c>
      <c r="E6" s="31" t="s">
        <v>89</v>
      </c>
    </row>
    <row r="7" spans="2:5" ht="19.5" customHeight="1" x14ac:dyDescent="0.3">
      <c r="B7" s="32" t="s">
        <v>90</v>
      </c>
      <c r="C7" s="51">
        <v>6</v>
      </c>
      <c r="D7" s="52">
        <v>1</v>
      </c>
      <c r="E7" s="52">
        <v>50</v>
      </c>
    </row>
    <row r="8" spans="2:5" ht="19.5" customHeight="1" x14ac:dyDescent="0.3">
      <c r="B8" s="35" t="s">
        <v>91</v>
      </c>
      <c r="C8" s="51">
        <v>35</v>
      </c>
      <c r="D8" s="53">
        <v>5</v>
      </c>
      <c r="E8" s="53">
        <v>500</v>
      </c>
    </row>
    <row r="9" spans="2:5" ht="19.5" customHeight="1" x14ac:dyDescent="0.3">
      <c r="B9" s="32" t="s">
        <v>92</v>
      </c>
      <c r="C9" s="51">
        <v>3000</v>
      </c>
      <c r="D9" s="52">
        <v>100</v>
      </c>
      <c r="E9" s="52">
        <v>30000</v>
      </c>
    </row>
    <row r="10" spans="2:5" ht="19.5" customHeight="1" x14ac:dyDescent="0.3">
      <c r="B10" s="35" t="s">
        <v>93</v>
      </c>
      <c r="C10" s="51">
        <v>120</v>
      </c>
      <c r="D10" s="53">
        <v>10</v>
      </c>
      <c r="E10" s="53">
        <v>1000</v>
      </c>
    </row>
    <row r="11" spans="2:5" ht="19.5" customHeight="1" x14ac:dyDescent="0.3">
      <c r="B11" s="32" t="s">
        <v>94</v>
      </c>
      <c r="C11" s="51">
        <v>4</v>
      </c>
      <c r="D11" s="52">
        <v>0</v>
      </c>
      <c r="E11" s="52">
        <v>50</v>
      </c>
    </row>
    <row r="12" spans="2:5" ht="19.5" customHeight="1" x14ac:dyDescent="0.3">
      <c r="B12" s="35" t="s">
        <v>95</v>
      </c>
      <c r="C12" s="51">
        <v>3</v>
      </c>
      <c r="D12" s="53">
        <v>1</v>
      </c>
      <c r="E12" s="53">
        <v>3</v>
      </c>
    </row>
    <row r="13" spans="2:5" ht="19.5" customHeight="1" x14ac:dyDescent="0.3">
      <c r="B13" s="32" t="s">
        <v>96</v>
      </c>
      <c r="C13" s="51">
        <v>12</v>
      </c>
      <c r="D13" s="52">
        <v>1</v>
      </c>
      <c r="E13" s="52">
        <v>36</v>
      </c>
    </row>
    <row r="15" spans="2:5" ht="19.5" customHeight="1" x14ac:dyDescent="0.3">
      <c r="B15" s="3" t="s">
        <v>97</v>
      </c>
      <c r="C15" s="3"/>
      <c r="D15" s="3"/>
      <c r="E15" s="3"/>
    </row>
    <row r="16" spans="2:5" ht="21.75" customHeight="1" x14ac:dyDescent="0.3">
      <c r="B16" s="31" t="s">
        <v>98</v>
      </c>
      <c r="C16" s="31" t="s">
        <v>99</v>
      </c>
      <c r="D16" s="31" t="s">
        <v>100</v>
      </c>
      <c r="E16" s="31" t="s">
        <v>101</v>
      </c>
    </row>
    <row r="17" spans="2:5" ht="21.75" customHeight="1" x14ac:dyDescent="0.3">
      <c r="B17" s="54" t="s">
        <v>102</v>
      </c>
      <c r="C17" s="55">
        <f>IF(C7=1,14999,IF(C7&lt;=3,24999,IF(C7&lt;=6,39999,55000)))</f>
        <v>39999</v>
      </c>
      <c r="D17" s="55">
        <f>C17*12</f>
        <v>479988</v>
      </c>
      <c r="E17" s="56" t="str">
        <f>IF(C5=1,"Starter",IF(C5&lt;=3,"Growth",IF(C5&lt;=6,"Enterprise","Custom")))</f>
        <v>Growth</v>
      </c>
    </row>
    <row r="19" spans="2:5" ht="19.5" customHeight="1" x14ac:dyDescent="0.3">
      <c r="B19" s="4" t="s">
        <v>103</v>
      </c>
      <c r="C19" s="4"/>
      <c r="D19" s="4"/>
      <c r="E19" s="4"/>
    </row>
    <row r="20" spans="2:5" ht="21.75" customHeight="1" x14ac:dyDescent="0.3">
      <c r="B20" s="31" t="s">
        <v>68</v>
      </c>
      <c r="C20" s="31" t="s">
        <v>99</v>
      </c>
      <c r="D20" s="31" t="s">
        <v>100</v>
      </c>
      <c r="E20" s="31" t="s">
        <v>104</v>
      </c>
    </row>
    <row r="21" spans="2:5" ht="19.5" customHeight="1" x14ac:dyDescent="0.3">
      <c r="B21" s="32" t="s">
        <v>105</v>
      </c>
      <c r="C21" s="57">
        <f>2999</f>
        <v>2999</v>
      </c>
      <c r="D21" s="42">
        <f t="shared" ref="D21:D26" si="0">C21*12</f>
        <v>35988</v>
      </c>
      <c r="E21" s="58" t="s">
        <v>106</v>
      </c>
    </row>
    <row r="22" spans="2:5" ht="19.5" customHeight="1" x14ac:dyDescent="0.3">
      <c r="B22" s="35" t="s">
        <v>107</v>
      </c>
      <c r="C22" s="57">
        <f>1999</f>
        <v>1999</v>
      </c>
      <c r="D22" s="44">
        <f t="shared" si="0"/>
        <v>23988</v>
      </c>
      <c r="E22" s="59" t="s">
        <v>108</v>
      </c>
    </row>
    <row r="23" spans="2:5" ht="19.5" customHeight="1" x14ac:dyDescent="0.3">
      <c r="B23" s="32" t="s">
        <v>109</v>
      </c>
      <c r="C23" s="57">
        <f>C11*1499</f>
        <v>5996</v>
      </c>
      <c r="D23" s="42">
        <f t="shared" si="0"/>
        <v>71952</v>
      </c>
      <c r="E23" s="58" t="s">
        <v>110</v>
      </c>
    </row>
    <row r="24" spans="2:5" ht="19.5" customHeight="1" x14ac:dyDescent="0.3">
      <c r="B24" s="35" t="s">
        <v>111</v>
      </c>
      <c r="C24" s="57">
        <f>1499</f>
        <v>1499</v>
      </c>
      <c r="D24" s="44">
        <f t="shared" si="0"/>
        <v>17988</v>
      </c>
      <c r="E24" s="59" t="s">
        <v>106</v>
      </c>
    </row>
    <row r="25" spans="2:5" ht="19.5" customHeight="1" x14ac:dyDescent="0.3">
      <c r="B25" s="32" t="s">
        <v>112</v>
      </c>
      <c r="C25" s="57">
        <f>999</f>
        <v>999</v>
      </c>
      <c r="D25" s="42">
        <f t="shared" si="0"/>
        <v>11988</v>
      </c>
      <c r="E25" s="58" t="s">
        <v>106</v>
      </c>
    </row>
    <row r="26" spans="2:5" ht="19.5" customHeight="1" x14ac:dyDescent="0.3">
      <c r="B26" s="35" t="s">
        <v>113</v>
      </c>
      <c r="C26" s="57">
        <f>C7*1500</f>
        <v>9000</v>
      </c>
      <c r="D26" s="44">
        <f t="shared" si="0"/>
        <v>108000</v>
      </c>
      <c r="E26" s="59" t="s">
        <v>114</v>
      </c>
    </row>
    <row r="28" spans="2:5" ht="19.5" customHeight="1" x14ac:dyDescent="0.3">
      <c r="B28" s="3" t="s">
        <v>115</v>
      </c>
      <c r="C28" s="3"/>
      <c r="D28" s="3"/>
      <c r="E28" s="3"/>
    </row>
    <row r="29" spans="2:5" ht="21.75" customHeight="1" x14ac:dyDescent="0.3">
      <c r="B29" s="31" t="s">
        <v>116</v>
      </c>
      <c r="C29" s="31" t="s">
        <v>99</v>
      </c>
      <c r="D29" s="31" t="s">
        <v>100</v>
      </c>
      <c r="E29" s="31" t="s">
        <v>23</v>
      </c>
    </row>
    <row r="30" spans="2:5" ht="19.5" customHeight="1" x14ac:dyDescent="0.3">
      <c r="B30" s="60" t="s">
        <v>117</v>
      </c>
      <c r="C30" s="57">
        <f>IF(C12=1,0,IF(C12=2,2499,4999))</f>
        <v>4999</v>
      </c>
      <c r="D30" s="57">
        <f>C30*12</f>
        <v>59988</v>
      </c>
      <c r="E30" s="61" t="str">
        <f>IF(C14=1,"Email support (48h SLA)",IF(C14=2,"Priority (4h SLA)","Dedicated CSM (1h SLA)"))</f>
        <v>Dedicated CSM (1h SLA)</v>
      </c>
    </row>
    <row r="32" spans="2:5" ht="19.5" customHeight="1" x14ac:dyDescent="0.3">
      <c r="B32" s="4" t="s">
        <v>118</v>
      </c>
      <c r="C32" s="4"/>
      <c r="D32" s="4"/>
      <c r="E32" s="4"/>
    </row>
    <row r="33" spans="2:5" ht="21.75" customHeight="1" x14ac:dyDescent="0.3">
      <c r="B33" s="31" t="s">
        <v>98</v>
      </c>
      <c r="C33" s="31" t="s">
        <v>119</v>
      </c>
      <c r="D33" s="31" t="s">
        <v>104</v>
      </c>
      <c r="E33" s="31"/>
    </row>
    <row r="34" spans="2:5" ht="19.5" customHeight="1" x14ac:dyDescent="0.3">
      <c r="B34" s="32" t="s">
        <v>120</v>
      </c>
      <c r="C34" s="57">
        <f>C7*2500</f>
        <v>15000</v>
      </c>
      <c r="D34" s="62" t="s">
        <v>108</v>
      </c>
      <c r="E34" s="34"/>
    </row>
    <row r="35" spans="2:5" ht="19.5" customHeight="1" x14ac:dyDescent="0.3">
      <c r="B35" s="35" t="s">
        <v>121</v>
      </c>
      <c r="C35" s="57">
        <f>C7*1500</f>
        <v>9000</v>
      </c>
      <c r="D35" s="63" t="s">
        <v>108</v>
      </c>
      <c r="E35" s="34"/>
    </row>
    <row r="36" spans="2:5" ht="19.5" customHeight="1" x14ac:dyDescent="0.3">
      <c r="B36" s="32" t="s">
        <v>122</v>
      </c>
      <c r="C36" s="57" t="s">
        <v>123</v>
      </c>
      <c r="D36" s="62" t="s">
        <v>106</v>
      </c>
      <c r="E36" s="34"/>
    </row>
    <row r="37" spans="2:5" ht="19.5" customHeight="1" x14ac:dyDescent="0.3">
      <c r="B37" s="35" t="s">
        <v>124</v>
      </c>
      <c r="C37" s="57">
        <f>C7*1000</f>
        <v>6000</v>
      </c>
      <c r="D37" s="63" t="s">
        <v>108</v>
      </c>
      <c r="E37" s="34"/>
    </row>
    <row r="39" spans="2:5" ht="19.5" customHeight="1" x14ac:dyDescent="0.3">
      <c r="B39" s="2" t="s">
        <v>125</v>
      </c>
      <c r="C39" s="2"/>
      <c r="D39" s="2"/>
      <c r="E39" s="2"/>
    </row>
    <row r="40" spans="2:5" ht="21.75" customHeight="1" x14ac:dyDescent="0.3">
      <c r="B40" s="31" t="s">
        <v>126</v>
      </c>
      <c r="C40" s="31" t="s">
        <v>127</v>
      </c>
      <c r="D40" s="31" t="s">
        <v>128</v>
      </c>
      <c r="E40" s="31" t="s">
        <v>129</v>
      </c>
    </row>
    <row r="41" spans="2:5" ht="19.5" customHeight="1" x14ac:dyDescent="0.3">
      <c r="B41" s="32" t="s">
        <v>130</v>
      </c>
      <c r="C41" s="64">
        <v>0.1</v>
      </c>
      <c r="D41" s="65" t="s">
        <v>131</v>
      </c>
      <c r="E41" s="34"/>
    </row>
    <row r="42" spans="2:5" ht="19.5" customHeight="1" x14ac:dyDescent="0.3">
      <c r="B42" s="35" t="s">
        <v>132</v>
      </c>
      <c r="C42" s="64">
        <v>0.08</v>
      </c>
      <c r="D42" s="66" t="s">
        <v>133</v>
      </c>
      <c r="E42" s="34"/>
    </row>
    <row r="43" spans="2:5" ht="19.5" customHeight="1" x14ac:dyDescent="0.3">
      <c r="B43" s="32" t="s">
        <v>134</v>
      </c>
      <c r="C43" s="64">
        <v>0.05</v>
      </c>
      <c r="D43" s="65" t="s">
        <v>135</v>
      </c>
      <c r="E43" s="34"/>
    </row>
    <row r="44" spans="2:5" ht="19.5" customHeight="1" x14ac:dyDescent="0.3">
      <c r="B44" s="35" t="s">
        <v>136</v>
      </c>
      <c r="C44" s="64">
        <v>0.1</v>
      </c>
      <c r="D44" s="66" t="s">
        <v>137</v>
      </c>
      <c r="E44" s="34"/>
    </row>
    <row r="45" spans="2:5" ht="19.5" customHeight="1" x14ac:dyDescent="0.3">
      <c r="B45" s="32" t="s">
        <v>138</v>
      </c>
      <c r="C45" s="64">
        <v>0.05</v>
      </c>
      <c r="D45" s="65" t="s">
        <v>139</v>
      </c>
      <c r="E45" s="34"/>
    </row>
    <row r="46" spans="2:5" ht="19.5" customHeight="1" x14ac:dyDescent="0.3">
      <c r="B46" s="67" t="s">
        <v>140</v>
      </c>
      <c r="C46" s="68">
        <f>MIN(SUM(C41:C45),0.3)</f>
        <v>0.3</v>
      </c>
      <c r="D46" s="69"/>
      <c r="E46" s="34"/>
    </row>
    <row r="48" spans="2:5" ht="19.5" customHeight="1" x14ac:dyDescent="0.3">
      <c r="B48" s="1" t="s">
        <v>141</v>
      </c>
      <c r="C48" s="1"/>
      <c r="D48" s="1"/>
      <c r="E48" s="1"/>
    </row>
    <row r="49" spans="2:5" ht="21.75" customHeight="1" x14ac:dyDescent="0.3">
      <c r="B49" s="31" t="s">
        <v>142</v>
      </c>
      <c r="C49" s="31" t="s">
        <v>99</v>
      </c>
      <c r="D49" s="31" t="s">
        <v>100</v>
      </c>
      <c r="E49" s="31" t="s">
        <v>143</v>
      </c>
    </row>
    <row r="50" spans="2:5" ht="19.5" customHeight="1" x14ac:dyDescent="0.3">
      <c r="B50" s="32" t="s">
        <v>102</v>
      </c>
      <c r="C50" s="57">
        <f>C17</f>
        <v>39999</v>
      </c>
      <c r="D50" s="42">
        <f>D17</f>
        <v>479988</v>
      </c>
      <c r="E50" s="70" t="s">
        <v>144</v>
      </c>
    </row>
    <row r="51" spans="2:5" ht="19.5" customHeight="1" x14ac:dyDescent="0.3">
      <c r="B51" s="35" t="s">
        <v>145</v>
      </c>
      <c r="C51" s="57">
        <f>SUM(C21:C26)</f>
        <v>22492</v>
      </c>
      <c r="D51" s="57">
        <f>C51*12</f>
        <v>269904</v>
      </c>
      <c r="E51" s="71" t="s">
        <v>146</v>
      </c>
    </row>
    <row r="52" spans="2:5" ht="19.5" customHeight="1" x14ac:dyDescent="0.3">
      <c r="B52" s="32" t="s">
        <v>147</v>
      </c>
      <c r="C52" s="57">
        <f>C30</f>
        <v>4999</v>
      </c>
      <c r="D52" s="42">
        <f>D30</f>
        <v>59988</v>
      </c>
      <c r="E52" s="70" t="s">
        <v>148</v>
      </c>
    </row>
    <row r="53" spans="2:5" ht="21.75" customHeight="1" x14ac:dyDescent="0.3">
      <c r="B53" s="67" t="s">
        <v>149</v>
      </c>
      <c r="C53" s="72">
        <f>SUM(C50:C52)</f>
        <v>67490</v>
      </c>
      <c r="D53" s="72">
        <f>SUM(D50:D52)</f>
        <v>809880</v>
      </c>
      <c r="E53" s="69"/>
    </row>
    <row r="54" spans="2:5" ht="19.5" customHeight="1" x14ac:dyDescent="0.3">
      <c r="B54" s="35" t="s">
        <v>150</v>
      </c>
      <c r="C54" s="73">
        <f>-C53*C46</f>
        <v>-20247</v>
      </c>
      <c r="D54" s="73">
        <f>-D53*C46</f>
        <v>-242964</v>
      </c>
      <c r="E54" s="34"/>
    </row>
    <row r="55" spans="2:5" ht="25.5" customHeight="1" x14ac:dyDescent="0.3">
      <c r="B55" s="74" t="s">
        <v>151</v>
      </c>
      <c r="C55" s="75">
        <f>C53+C54</f>
        <v>47243</v>
      </c>
      <c r="D55" s="75">
        <f>D53+D54</f>
        <v>566916</v>
      </c>
      <c r="E55" s="76" t="s">
        <v>152</v>
      </c>
    </row>
    <row r="56" spans="2:5" ht="21.75" customHeight="1" x14ac:dyDescent="0.3">
      <c r="B56" s="67" t="s">
        <v>153</v>
      </c>
      <c r="C56" s="72">
        <f>SUM(C34:C37)</f>
        <v>30000</v>
      </c>
      <c r="D56" s="77" t="s">
        <v>154</v>
      </c>
      <c r="E56" s="69"/>
    </row>
    <row r="57" spans="2:5" ht="21.75" customHeight="1" x14ac:dyDescent="0.3">
      <c r="B57" s="32" t="s">
        <v>155</v>
      </c>
      <c r="C57" s="42">
        <f>(C55+C56)*0.18</f>
        <v>13903.74</v>
      </c>
      <c r="D57" s="42">
        <f>D55*0.18</f>
        <v>102044.87999999999</v>
      </c>
      <c r="E57" s="78"/>
    </row>
    <row r="58" spans="2:5" ht="30" customHeight="1" x14ac:dyDescent="0.3">
      <c r="B58" s="79" t="s">
        <v>156</v>
      </c>
      <c r="C58" s="80">
        <f>C55+C56+C57</f>
        <v>91146.74</v>
      </c>
      <c r="D58" s="80">
        <f>D55+D57</f>
        <v>668960.88</v>
      </c>
      <c r="E58" s="81" t="s">
        <v>157</v>
      </c>
    </row>
  </sheetData>
  <mergeCells count="9">
    <mergeCell ref="B28:E28"/>
    <mergeCell ref="B32:E32"/>
    <mergeCell ref="B39:E39"/>
    <mergeCell ref="B48:E48"/>
    <mergeCell ref="B1:E2"/>
    <mergeCell ref="B3:E3"/>
    <mergeCell ref="B5:E5"/>
    <mergeCell ref="B15:E15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8" customWidth="1"/>
    <col min="3" max="5" width="24" customWidth="1"/>
    <col min="6" max="6" width="3" customWidth="1"/>
  </cols>
  <sheetData>
    <row r="1" spans="2:5" ht="36" customHeight="1" x14ac:dyDescent="0.3">
      <c r="B1" s="6" t="s">
        <v>158</v>
      </c>
      <c r="C1" s="6"/>
      <c r="D1" s="6"/>
      <c r="E1" s="6"/>
    </row>
    <row r="2" spans="2:5" ht="15" customHeight="1" x14ac:dyDescent="0.3">
      <c r="B2" s="6"/>
      <c r="C2" s="6"/>
      <c r="D2" s="6"/>
      <c r="E2" s="6"/>
    </row>
    <row r="3" spans="2:5" ht="19.5" customHeight="1" x14ac:dyDescent="0.3">
      <c r="B3" s="5" t="s">
        <v>159</v>
      </c>
      <c r="C3" s="5"/>
      <c r="D3" s="5"/>
      <c r="E3" s="5"/>
    </row>
    <row r="5" spans="2:5" ht="19.5" customHeight="1" x14ac:dyDescent="0.3">
      <c r="B5" s="1" t="s">
        <v>160</v>
      </c>
      <c r="C5" s="1"/>
      <c r="D5" s="1"/>
      <c r="E5" s="1"/>
    </row>
    <row r="6" spans="2:5" ht="21.75" customHeight="1" x14ac:dyDescent="0.3">
      <c r="B6" s="31" t="s">
        <v>161</v>
      </c>
      <c r="C6" s="31" t="s">
        <v>162</v>
      </c>
      <c r="D6" s="31" t="s">
        <v>163</v>
      </c>
      <c r="E6" s="31" t="s">
        <v>164</v>
      </c>
    </row>
    <row r="7" spans="2:5" ht="21.75" customHeight="1" x14ac:dyDescent="0.3">
      <c r="B7" s="32" t="s">
        <v>165</v>
      </c>
      <c r="C7" s="64">
        <v>0.08</v>
      </c>
      <c r="D7" s="82">
        <f>C7*6*3000*350*12</f>
        <v>6048000</v>
      </c>
      <c r="E7" s="83" t="s">
        <v>166</v>
      </c>
    </row>
    <row r="8" spans="2:5" ht="21.75" customHeight="1" x14ac:dyDescent="0.3">
      <c r="B8" s="35" t="s">
        <v>167</v>
      </c>
      <c r="C8" s="64">
        <v>0.15</v>
      </c>
      <c r="D8" s="84">
        <f>C8*6*3000*350*12*0.5</f>
        <v>5669999.9999999991</v>
      </c>
      <c r="E8" s="85" t="s">
        <v>168</v>
      </c>
    </row>
    <row r="9" spans="2:5" ht="21.75" customHeight="1" x14ac:dyDescent="0.3">
      <c r="B9" s="32" t="s">
        <v>169</v>
      </c>
      <c r="C9" s="64">
        <v>0.2</v>
      </c>
      <c r="D9" s="82">
        <f>C9*4*1500*350*12</f>
        <v>5040000</v>
      </c>
      <c r="E9" s="83" t="s">
        <v>170</v>
      </c>
    </row>
    <row r="10" spans="2:5" ht="21.75" customHeight="1" x14ac:dyDescent="0.3">
      <c r="B10" s="35" t="s">
        <v>171</v>
      </c>
      <c r="C10" s="64">
        <v>0.1</v>
      </c>
      <c r="D10" s="84">
        <f>C10*6*3000*350*12*0.3</f>
        <v>2268000.0000000005</v>
      </c>
      <c r="E10" s="85" t="s">
        <v>172</v>
      </c>
    </row>
    <row r="11" spans="2:5" ht="21.75" customHeight="1" x14ac:dyDescent="0.3">
      <c r="B11" s="32" t="s">
        <v>173</v>
      </c>
      <c r="C11" s="51">
        <v>25</v>
      </c>
      <c r="D11" s="82">
        <f>C11*6*3000*12</f>
        <v>5400000</v>
      </c>
      <c r="E11" s="83" t="s">
        <v>174</v>
      </c>
    </row>
    <row r="12" spans="2:5" ht="21.75" customHeight="1" x14ac:dyDescent="0.3">
      <c r="B12" s="67" t="s">
        <v>175</v>
      </c>
      <c r="C12" s="86"/>
      <c r="D12" s="49">
        <f>SUM(D7:D11)</f>
        <v>24426000</v>
      </c>
      <c r="E12" s="69"/>
    </row>
    <row r="14" spans="2:5" ht="19.5" customHeight="1" x14ac:dyDescent="0.3">
      <c r="B14" s="4" t="s">
        <v>176</v>
      </c>
      <c r="C14" s="4"/>
      <c r="D14" s="4"/>
      <c r="E14" s="4"/>
    </row>
    <row r="15" spans="2:5" ht="21.75" customHeight="1" x14ac:dyDescent="0.3">
      <c r="B15" s="31" t="s">
        <v>177</v>
      </c>
      <c r="C15" s="31" t="s">
        <v>162</v>
      </c>
      <c r="D15" s="31" t="s">
        <v>178</v>
      </c>
      <c r="E15" s="31" t="s">
        <v>179</v>
      </c>
    </row>
    <row r="16" spans="2:5" ht="21.75" customHeight="1" x14ac:dyDescent="0.3">
      <c r="B16" s="32" t="s">
        <v>180</v>
      </c>
      <c r="C16" s="62" t="s">
        <v>181</v>
      </c>
      <c r="D16" s="82">
        <f>6*4000*12+6*1200*12+6*800*12+6*1500*12+6*500*12</f>
        <v>576000</v>
      </c>
      <c r="E16" s="87" t="s">
        <v>182</v>
      </c>
    </row>
    <row r="17" spans="2:5" ht="21.75" customHeight="1" x14ac:dyDescent="0.3">
      <c r="B17" s="35" t="s">
        <v>183</v>
      </c>
      <c r="C17" s="63" t="s">
        <v>184</v>
      </c>
      <c r="D17" s="84">
        <f>-39999*12*1.18</f>
        <v>-566385.84</v>
      </c>
      <c r="E17" s="88" t="s">
        <v>185</v>
      </c>
    </row>
    <row r="18" spans="2:5" ht="21.75" customHeight="1" x14ac:dyDescent="0.3">
      <c r="B18" s="32" t="s">
        <v>186</v>
      </c>
      <c r="C18" s="62" t="s">
        <v>162</v>
      </c>
      <c r="D18" s="82">
        <f>2*6*350*150</f>
        <v>630000</v>
      </c>
      <c r="E18" s="87" t="s">
        <v>187</v>
      </c>
    </row>
    <row r="19" spans="2:5" ht="21.75" customHeight="1" x14ac:dyDescent="0.3">
      <c r="B19" s="35" t="s">
        <v>188</v>
      </c>
      <c r="C19" s="89">
        <v>0.02</v>
      </c>
      <c r="D19" s="84">
        <f>C19*6*3000*350*0.3*12</f>
        <v>453600</v>
      </c>
      <c r="E19" s="88" t="s">
        <v>189</v>
      </c>
    </row>
    <row r="20" spans="2:5" ht="21.75" customHeight="1" x14ac:dyDescent="0.3">
      <c r="B20" s="32" t="s">
        <v>190</v>
      </c>
      <c r="C20" s="89">
        <v>5.0000000000000001E-3</v>
      </c>
      <c r="D20" s="82">
        <f>C20*6*3000*350*12</f>
        <v>378000</v>
      </c>
      <c r="E20" s="87" t="s">
        <v>191</v>
      </c>
    </row>
    <row r="21" spans="2:5" ht="21.75" customHeight="1" x14ac:dyDescent="0.3">
      <c r="B21" s="67" t="s">
        <v>192</v>
      </c>
      <c r="C21" s="86"/>
      <c r="D21" s="90">
        <f>SUM(D16:D20)</f>
        <v>1471214.1600000001</v>
      </c>
      <c r="E21" s="69"/>
    </row>
    <row r="23" spans="2:5" ht="19.5" customHeight="1" x14ac:dyDescent="0.3">
      <c r="B23" s="3" t="s">
        <v>193</v>
      </c>
      <c r="C23" s="3"/>
      <c r="D23" s="3"/>
      <c r="E23" s="3"/>
    </row>
    <row r="25" spans="2:5" ht="24" customHeight="1" x14ac:dyDescent="0.3">
      <c r="B25" s="17" t="s">
        <v>194</v>
      </c>
      <c r="C25" s="91"/>
      <c r="D25" s="92">
        <f>D12+D21</f>
        <v>25897214.16</v>
      </c>
      <c r="E25" s="91"/>
    </row>
    <row r="26" spans="2:5" ht="24" customHeight="1" x14ac:dyDescent="0.3">
      <c r="B26" s="35" t="s">
        <v>195</v>
      </c>
      <c r="C26" s="93"/>
      <c r="D26" s="94">
        <f>-39999*12*1.18</f>
        <v>-566385.84</v>
      </c>
      <c r="E26" s="93"/>
    </row>
    <row r="27" spans="2:5" ht="24" customHeight="1" x14ac:dyDescent="0.3">
      <c r="B27" s="17" t="s">
        <v>196</v>
      </c>
      <c r="C27" s="91"/>
      <c r="D27" s="95">
        <f>D25+D26</f>
        <v>25330828.32</v>
      </c>
      <c r="E27" s="91"/>
    </row>
    <row r="28" spans="2:5" ht="24" customHeight="1" x14ac:dyDescent="0.3">
      <c r="B28" s="17" t="s">
        <v>197</v>
      </c>
      <c r="C28" s="91"/>
      <c r="D28" s="96">
        <f>IFERROR(ABS(D26/D25*12),"N/A")</f>
        <v>0.26244637890425504</v>
      </c>
      <c r="E28" s="91"/>
    </row>
    <row r="29" spans="2:5" ht="24" customHeight="1" x14ac:dyDescent="0.3">
      <c r="B29" s="17" t="s">
        <v>198</v>
      </c>
      <c r="C29" s="91"/>
      <c r="D29" s="97">
        <f>IFERROR((D25*3+D26)/(ABS(D26))*100,"N/A")</f>
        <v>13617.087715328478</v>
      </c>
      <c r="E29" s="91"/>
    </row>
  </sheetData>
  <mergeCells count="5">
    <mergeCell ref="B1:E2"/>
    <mergeCell ref="B3:E3"/>
    <mergeCell ref="B5:E5"/>
    <mergeCell ref="B14:E14"/>
    <mergeCell ref="B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4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6" width="24" customWidth="1"/>
    <col min="7" max="7" width="3" customWidth="1"/>
  </cols>
  <sheetData>
    <row r="1" spans="2:6" ht="36" customHeight="1" x14ac:dyDescent="0.3">
      <c r="B1" s="6" t="s">
        <v>199</v>
      </c>
      <c r="C1" s="6"/>
      <c r="D1" s="6"/>
      <c r="E1" s="6"/>
      <c r="F1" s="6"/>
    </row>
    <row r="2" spans="2:6" ht="15" customHeight="1" x14ac:dyDescent="0.3">
      <c r="B2" s="6"/>
      <c r="C2" s="6"/>
      <c r="D2" s="6"/>
      <c r="E2" s="6"/>
      <c r="F2" s="6"/>
    </row>
    <row r="3" spans="2:6" ht="19.5" customHeight="1" x14ac:dyDescent="0.3">
      <c r="B3" s="5" t="s">
        <v>200</v>
      </c>
      <c r="C3" s="5"/>
      <c r="D3" s="5"/>
      <c r="E3" s="5"/>
      <c r="F3" s="5"/>
    </row>
    <row r="5" spans="2:6" ht="24" customHeight="1" x14ac:dyDescent="0.3">
      <c r="B5" s="31" t="s">
        <v>8</v>
      </c>
      <c r="C5" s="31" t="s">
        <v>37</v>
      </c>
      <c r="D5" s="31" t="s">
        <v>38</v>
      </c>
      <c r="E5" s="31" t="s">
        <v>39</v>
      </c>
      <c r="F5" s="31" t="s">
        <v>40</v>
      </c>
    </row>
    <row r="6" spans="2:6" ht="27.75" customHeight="1" x14ac:dyDescent="0.3">
      <c r="B6" s="67" t="s">
        <v>8</v>
      </c>
      <c r="C6" s="98" t="s">
        <v>37</v>
      </c>
      <c r="D6" s="99" t="s">
        <v>38</v>
      </c>
      <c r="E6" s="100" t="s">
        <v>39</v>
      </c>
      <c r="F6" s="101" t="s">
        <v>40</v>
      </c>
    </row>
    <row r="7" spans="2:6" ht="31.5" customHeight="1" x14ac:dyDescent="0.3">
      <c r="B7" s="67" t="s">
        <v>201</v>
      </c>
      <c r="C7" s="102" t="s">
        <v>14</v>
      </c>
      <c r="D7" s="103" t="s">
        <v>15</v>
      </c>
      <c r="E7" s="104" t="s">
        <v>16</v>
      </c>
      <c r="F7" s="105" t="s">
        <v>17</v>
      </c>
    </row>
    <row r="8" spans="2:6" ht="21.75" customHeight="1" x14ac:dyDescent="0.3">
      <c r="B8" s="67" t="s">
        <v>202</v>
      </c>
      <c r="C8" s="106" t="s">
        <v>19</v>
      </c>
      <c r="D8" s="107" t="s">
        <v>203</v>
      </c>
      <c r="E8" s="108" t="s">
        <v>204</v>
      </c>
      <c r="F8" s="109" t="s">
        <v>205</v>
      </c>
    </row>
    <row r="9" spans="2:6" ht="18" customHeight="1" x14ac:dyDescent="0.3">
      <c r="B9" s="32" t="s">
        <v>41</v>
      </c>
      <c r="C9" s="110" t="s">
        <v>42</v>
      </c>
      <c r="D9" s="110" t="s">
        <v>42</v>
      </c>
      <c r="E9" s="110" t="s">
        <v>42</v>
      </c>
      <c r="F9" s="110" t="s">
        <v>42</v>
      </c>
    </row>
    <row r="10" spans="2:6" ht="18" customHeight="1" x14ac:dyDescent="0.3">
      <c r="B10" s="35" t="s">
        <v>206</v>
      </c>
      <c r="C10" s="111" t="s">
        <v>42</v>
      </c>
      <c r="D10" s="111" t="s">
        <v>42</v>
      </c>
      <c r="E10" s="111" t="s">
        <v>42</v>
      </c>
      <c r="F10" s="111" t="s">
        <v>42</v>
      </c>
    </row>
    <row r="11" spans="2:6" ht="18" customHeight="1" x14ac:dyDescent="0.3">
      <c r="B11" s="32" t="s">
        <v>44</v>
      </c>
      <c r="C11" s="110" t="s">
        <v>42</v>
      </c>
      <c r="D11" s="110" t="s">
        <v>42</v>
      </c>
      <c r="E11" s="110" t="s">
        <v>42</v>
      </c>
      <c r="F11" s="110" t="s">
        <v>42</v>
      </c>
    </row>
    <row r="12" spans="2:6" ht="18" customHeight="1" x14ac:dyDescent="0.3">
      <c r="B12" s="35" t="s">
        <v>207</v>
      </c>
      <c r="C12" s="111" t="s">
        <v>42</v>
      </c>
      <c r="D12" s="111" t="s">
        <v>42</v>
      </c>
      <c r="E12" s="111" t="s">
        <v>42</v>
      </c>
      <c r="F12" s="111" t="s">
        <v>42</v>
      </c>
    </row>
    <row r="13" spans="2:6" ht="18" customHeight="1" x14ac:dyDescent="0.3">
      <c r="B13" s="32" t="s">
        <v>208</v>
      </c>
      <c r="C13" s="110" t="s">
        <v>42</v>
      </c>
      <c r="D13" s="110" t="s">
        <v>42</v>
      </c>
      <c r="E13" s="110" t="s">
        <v>42</v>
      </c>
      <c r="F13" s="110" t="s">
        <v>42</v>
      </c>
    </row>
    <row r="14" spans="2:6" ht="18" customHeight="1" x14ac:dyDescent="0.3">
      <c r="B14" s="35" t="s">
        <v>48</v>
      </c>
      <c r="C14" s="111" t="s">
        <v>42</v>
      </c>
      <c r="D14" s="111" t="s">
        <v>42</v>
      </c>
      <c r="E14" s="111" t="s">
        <v>42</v>
      </c>
      <c r="F14" s="111" t="s">
        <v>42</v>
      </c>
    </row>
    <row r="15" spans="2:6" ht="18" customHeight="1" x14ac:dyDescent="0.3">
      <c r="B15" s="32" t="s">
        <v>209</v>
      </c>
      <c r="C15" s="110" t="s">
        <v>42</v>
      </c>
      <c r="D15" s="110" t="s">
        <v>42</v>
      </c>
      <c r="E15" s="110" t="s">
        <v>42</v>
      </c>
      <c r="F15" s="110" t="s">
        <v>42</v>
      </c>
    </row>
    <row r="16" spans="2:6" ht="18" customHeight="1" x14ac:dyDescent="0.3">
      <c r="B16" s="35" t="s">
        <v>210</v>
      </c>
      <c r="C16" s="111" t="s">
        <v>42</v>
      </c>
      <c r="D16" s="111" t="s">
        <v>42</v>
      </c>
      <c r="E16" s="111" t="s">
        <v>42</v>
      </c>
      <c r="F16" s="111" t="s">
        <v>42</v>
      </c>
    </row>
    <row r="17" spans="2:6" ht="18" customHeight="1" x14ac:dyDescent="0.3">
      <c r="B17" s="32" t="s">
        <v>50</v>
      </c>
      <c r="C17" s="112" t="s">
        <v>51</v>
      </c>
      <c r="D17" s="110" t="s">
        <v>42</v>
      </c>
      <c r="E17" s="110" t="s">
        <v>42</v>
      </c>
      <c r="F17" s="110" t="s">
        <v>42</v>
      </c>
    </row>
    <row r="18" spans="2:6" ht="18" customHeight="1" x14ac:dyDescent="0.3">
      <c r="B18" s="35" t="s">
        <v>211</v>
      </c>
      <c r="C18" s="113" t="s">
        <v>51</v>
      </c>
      <c r="D18" s="111" t="s">
        <v>42</v>
      </c>
      <c r="E18" s="111" t="s">
        <v>42</v>
      </c>
      <c r="F18" s="111" t="s">
        <v>42</v>
      </c>
    </row>
    <row r="19" spans="2:6" ht="18" customHeight="1" x14ac:dyDescent="0.3">
      <c r="B19" s="32" t="s">
        <v>53</v>
      </c>
      <c r="C19" s="112" t="s">
        <v>51</v>
      </c>
      <c r="D19" s="110" t="s">
        <v>42</v>
      </c>
      <c r="E19" s="110" t="s">
        <v>42</v>
      </c>
      <c r="F19" s="110" t="s">
        <v>42</v>
      </c>
    </row>
    <row r="20" spans="2:6" ht="18" customHeight="1" x14ac:dyDescent="0.3">
      <c r="B20" s="35" t="s">
        <v>212</v>
      </c>
      <c r="C20" s="113" t="s">
        <v>51</v>
      </c>
      <c r="D20" s="111" t="s">
        <v>42</v>
      </c>
      <c r="E20" s="111" t="s">
        <v>42</v>
      </c>
      <c r="F20" s="111" t="s">
        <v>42</v>
      </c>
    </row>
    <row r="21" spans="2:6" ht="18" customHeight="1" x14ac:dyDescent="0.3">
      <c r="B21" s="32" t="s">
        <v>213</v>
      </c>
      <c r="C21" s="112" t="s">
        <v>51</v>
      </c>
      <c r="D21" s="110" t="s">
        <v>42</v>
      </c>
      <c r="E21" s="110" t="s">
        <v>42</v>
      </c>
      <c r="F21" s="110" t="s">
        <v>42</v>
      </c>
    </row>
    <row r="22" spans="2:6" ht="18" customHeight="1" x14ac:dyDescent="0.3">
      <c r="B22" s="35" t="s">
        <v>214</v>
      </c>
      <c r="C22" s="113" t="s">
        <v>51</v>
      </c>
      <c r="D22" s="111" t="s">
        <v>42</v>
      </c>
      <c r="E22" s="111" t="s">
        <v>42</v>
      </c>
      <c r="F22" s="111" t="s">
        <v>42</v>
      </c>
    </row>
    <row r="23" spans="2:6" ht="18" customHeight="1" x14ac:dyDescent="0.3">
      <c r="B23" s="32" t="s">
        <v>215</v>
      </c>
      <c r="C23" s="112" t="s">
        <v>51</v>
      </c>
      <c r="D23" s="112" t="s">
        <v>51</v>
      </c>
      <c r="E23" s="110" t="s">
        <v>42</v>
      </c>
      <c r="F23" s="110" t="s">
        <v>42</v>
      </c>
    </row>
    <row r="24" spans="2:6" ht="18" customHeight="1" x14ac:dyDescent="0.3">
      <c r="B24" s="35" t="s">
        <v>216</v>
      </c>
      <c r="C24" s="113" t="s">
        <v>51</v>
      </c>
      <c r="D24" s="113" t="s">
        <v>51</v>
      </c>
      <c r="E24" s="111" t="s">
        <v>42</v>
      </c>
      <c r="F24" s="111" t="s">
        <v>42</v>
      </c>
    </row>
    <row r="25" spans="2:6" ht="18" customHeight="1" x14ac:dyDescent="0.3">
      <c r="B25" s="32" t="s">
        <v>56</v>
      </c>
      <c r="C25" s="112" t="s">
        <v>51</v>
      </c>
      <c r="D25" s="112" t="s">
        <v>51</v>
      </c>
      <c r="E25" s="110" t="s">
        <v>42</v>
      </c>
      <c r="F25" s="110" t="s">
        <v>42</v>
      </c>
    </row>
    <row r="26" spans="2:6" ht="18" customHeight="1" x14ac:dyDescent="0.3">
      <c r="B26" s="35" t="s">
        <v>217</v>
      </c>
      <c r="C26" s="113" t="s">
        <v>51</v>
      </c>
      <c r="D26" s="113" t="s">
        <v>51</v>
      </c>
      <c r="E26" s="111" t="s">
        <v>42</v>
      </c>
      <c r="F26" s="111" t="s">
        <v>42</v>
      </c>
    </row>
    <row r="27" spans="2:6" ht="18" customHeight="1" x14ac:dyDescent="0.3">
      <c r="B27" s="32" t="s">
        <v>218</v>
      </c>
      <c r="C27" s="112" t="s">
        <v>51</v>
      </c>
      <c r="D27" s="112" t="s">
        <v>51</v>
      </c>
      <c r="E27" s="110" t="s">
        <v>42</v>
      </c>
      <c r="F27" s="110" t="s">
        <v>42</v>
      </c>
    </row>
    <row r="28" spans="2:6" ht="18" customHeight="1" x14ac:dyDescent="0.3">
      <c r="B28" s="35" t="s">
        <v>219</v>
      </c>
      <c r="C28" s="113" t="s">
        <v>51</v>
      </c>
      <c r="D28" s="113" t="s">
        <v>51</v>
      </c>
      <c r="E28" s="111" t="s">
        <v>42</v>
      </c>
      <c r="F28" s="111" t="s">
        <v>42</v>
      </c>
    </row>
    <row r="29" spans="2:6" ht="18" customHeight="1" x14ac:dyDescent="0.3">
      <c r="B29" s="32" t="s">
        <v>62</v>
      </c>
      <c r="C29" s="112" t="s">
        <v>51</v>
      </c>
      <c r="D29" s="112" t="s">
        <v>51</v>
      </c>
      <c r="E29" s="110" t="s">
        <v>42</v>
      </c>
      <c r="F29" s="110" t="s">
        <v>42</v>
      </c>
    </row>
    <row r="30" spans="2:6" ht="18" customHeight="1" x14ac:dyDescent="0.3">
      <c r="B30" s="35" t="s">
        <v>220</v>
      </c>
      <c r="C30" s="113" t="s">
        <v>51</v>
      </c>
      <c r="D30" s="113" t="s">
        <v>51</v>
      </c>
      <c r="E30" s="111" t="s">
        <v>42</v>
      </c>
      <c r="F30" s="111" t="s">
        <v>42</v>
      </c>
    </row>
    <row r="31" spans="2:6" ht="18" customHeight="1" x14ac:dyDescent="0.3">
      <c r="B31" s="32" t="s">
        <v>221</v>
      </c>
      <c r="C31" s="112" t="s">
        <v>51</v>
      </c>
      <c r="D31" s="112" t="s">
        <v>51</v>
      </c>
      <c r="E31" s="110" t="s">
        <v>42</v>
      </c>
      <c r="F31" s="110" t="s">
        <v>42</v>
      </c>
    </row>
    <row r="32" spans="2:6" ht="18" customHeight="1" x14ac:dyDescent="0.3">
      <c r="B32" s="35" t="s">
        <v>63</v>
      </c>
      <c r="C32" s="113" t="s">
        <v>51</v>
      </c>
      <c r="D32" s="113" t="s">
        <v>51</v>
      </c>
      <c r="E32" s="113" t="s">
        <v>51</v>
      </c>
      <c r="F32" s="111" t="s">
        <v>42</v>
      </c>
    </row>
    <row r="33" spans="2:6" ht="18" customHeight="1" x14ac:dyDescent="0.3">
      <c r="B33" s="32" t="s">
        <v>64</v>
      </c>
      <c r="C33" s="112" t="s">
        <v>51</v>
      </c>
      <c r="D33" s="112" t="s">
        <v>51</v>
      </c>
      <c r="E33" s="112" t="s">
        <v>51</v>
      </c>
      <c r="F33" s="110" t="s">
        <v>42</v>
      </c>
    </row>
    <row r="34" spans="2:6" ht="18" customHeight="1" x14ac:dyDescent="0.3">
      <c r="B34" s="35" t="s">
        <v>222</v>
      </c>
      <c r="C34" s="113" t="s">
        <v>51</v>
      </c>
      <c r="D34" s="113" t="s">
        <v>51</v>
      </c>
      <c r="E34" s="113" t="s">
        <v>51</v>
      </c>
      <c r="F34" s="111" t="s">
        <v>42</v>
      </c>
    </row>
    <row r="35" spans="2:6" ht="18" customHeight="1" x14ac:dyDescent="0.3">
      <c r="B35" s="32" t="s">
        <v>223</v>
      </c>
      <c r="C35" s="112" t="s">
        <v>51</v>
      </c>
      <c r="D35" s="112" t="s">
        <v>51</v>
      </c>
      <c r="E35" s="112" t="s">
        <v>51</v>
      </c>
      <c r="F35" s="110" t="s">
        <v>42</v>
      </c>
    </row>
    <row r="36" spans="2:6" ht="18" customHeight="1" x14ac:dyDescent="0.3">
      <c r="B36" s="35" t="s">
        <v>224</v>
      </c>
      <c r="C36" s="113" t="s">
        <v>51</v>
      </c>
      <c r="D36" s="113" t="s">
        <v>51</v>
      </c>
      <c r="E36" s="113" t="s">
        <v>51</v>
      </c>
      <c r="F36" s="111" t="s">
        <v>42</v>
      </c>
    </row>
    <row r="39" spans="2:6" ht="21.75" customHeight="1" x14ac:dyDescent="0.3">
      <c r="B39" s="10" t="s">
        <v>225</v>
      </c>
      <c r="C39" s="10"/>
      <c r="D39" s="10"/>
      <c r="E39" s="10"/>
      <c r="F39" s="10"/>
    </row>
    <row r="40" spans="2:6" ht="21.75" customHeight="1" x14ac:dyDescent="0.3">
      <c r="B40" s="31" t="s">
        <v>226</v>
      </c>
      <c r="C40" s="31" t="s">
        <v>99</v>
      </c>
      <c r="D40" s="31" t="s">
        <v>100</v>
      </c>
      <c r="E40" s="31" t="s">
        <v>104</v>
      </c>
      <c r="F40" s="31" t="s">
        <v>227</v>
      </c>
    </row>
    <row r="41" spans="2:6" ht="19.5" customHeight="1" x14ac:dyDescent="0.3">
      <c r="B41" s="32" t="s">
        <v>228</v>
      </c>
      <c r="C41" s="114">
        <v>2999</v>
      </c>
      <c r="D41" s="42">
        <f t="shared" ref="D41:D49" si="0">C41*12</f>
        <v>35988</v>
      </c>
      <c r="E41" s="62" t="s">
        <v>106</v>
      </c>
      <c r="F41" s="115" t="s">
        <v>229</v>
      </c>
    </row>
    <row r="42" spans="2:6" ht="19.5" customHeight="1" x14ac:dyDescent="0.3">
      <c r="B42" s="35" t="s">
        <v>57</v>
      </c>
      <c r="C42" s="114">
        <v>1999</v>
      </c>
      <c r="D42" s="44">
        <f t="shared" si="0"/>
        <v>23988</v>
      </c>
      <c r="E42" s="63" t="s">
        <v>108</v>
      </c>
      <c r="F42" s="116" t="s">
        <v>230</v>
      </c>
    </row>
    <row r="43" spans="2:6" ht="19.5" customHeight="1" x14ac:dyDescent="0.3">
      <c r="B43" s="32" t="s">
        <v>231</v>
      </c>
      <c r="C43" s="114">
        <v>1499</v>
      </c>
      <c r="D43" s="42">
        <f t="shared" si="0"/>
        <v>17988</v>
      </c>
      <c r="E43" s="62" t="s">
        <v>232</v>
      </c>
      <c r="F43" s="117" t="s">
        <v>39</v>
      </c>
    </row>
    <row r="44" spans="2:6" ht="19.5" customHeight="1" x14ac:dyDescent="0.3">
      <c r="B44" s="35" t="s">
        <v>233</v>
      </c>
      <c r="C44" s="114">
        <v>1499</v>
      </c>
      <c r="D44" s="44">
        <f t="shared" si="0"/>
        <v>17988</v>
      </c>
      <c r="E44" s="63" t="s">
        <v>106</v>
      </c>
      <c r="F44" s="116" t="s">
        <v>230</v>
      </c>
    </row>
    <row r="45" spans="2:6" ht="19.5" customHeight="1" x14ac:dyDescent="0.3">
      <c r="B45" s="32" t="s">
        <v>112</v>
      </c>
      <c r="C45" s="114">
        <v>999</v>
      </c>
      <c r="D45" s="42">
        <f t="shared" si="0"/>
        <v>11988</v>
      </c>
      <c r="E45" s="62" t="s">
        <v>106</v>
      </c>
      <c r="F45" s="115" t="s">
        <v>229</v>
      </c>
    </row>
    <row r="46" spans="2:6" ht="19.5" customHeight="1" x14ac:dyDescent="0.3">
      <c r="B46" s="35" t="s">
        <v>113</v>
      </c>
      <c r="C46" s="114">
        <v>1500</v>
      </c>
      <c r="D46" s="44">
        <f t="shared" si="0"/>
        <v>18000</v>
      </c>
      <c r="E46" s="63" t="s">
        <v>108</v>
      </c>
      <c r="F46" s="116" t="s">
        <v>234</v>
      </c>
    </row>
    <row r="47" spans="2:6" ht="19.5" customHeight="1" x14ac:dyDescent="0.3">
      <c r="B47" s="32" t="s">
        <v>63</v>
      </c>
      <c r="C47" s="114">
        <v>4999</v>
      </c>
      <c r="D47" s="42">
        <f t="shared" si="0"/>
        <v>59988</v>
      </c>
      <c r="E47" s="62" t="s">
        <v>106</v>
      </c>
      <c r="F47" s="118" t="s">
        <v>235</v>
      </c>
    </row>
    <row r="48" spans="2:6" ht="19.5" customHeight="1" x14ac:dyDescent="0.3">
      <c r="B48" s="35" t="s">
        <v>65</v>
      </c>
      <c r="C48" s="114">
        <v>2999</v>
      </c>
      <c r="D48" s="44">
        <f t="shared" si="0"/>
        <v>35988</v>
      </c>
      <c r="E48" s="63" t="s">
        <v>106</v>
      </c>
      <c r="F48" s="119" t="s">
        <v>235</v>
      </c>
    </row>
    <row r="49" spans="2:6" ht="19.5" customHeight="1" x14ac:dyDescent="0.3">
      <c r="B49" s="32" t="s">
        <v>236</v>
      </c>
      <c r="C49" s="114">
        <v>4999</v>
      </c>
      <c r="D49" s="42">
        <f t="shared" si="0"/>
        <v>59988</v>
      </c>
      <c r="E49" s="62" t="s">
        <v>237</v>
      </c>
      <c r="F49" s="118" t="s">
        <v>235</v>
      </c>
    </row>
  </sheetData>
  <mergeCells count="3">
    <mergeCell ref="B1:F2"/>
    <mergeCell ref="B3:F3"/>
    <mergeCell ref="B39:F3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Pricing Summary</vt:lpstr>
      <vt:lpstr>🧮 Quote Calculator</vt:lpstr>
      <vt:lpstr>📈 ROI for FlavourFall</vt:lpstr>
      <vt:lpstr>💰 Plan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ANSH KEDIA</cp:lastModifiedBy>
  <cp:revision>0</cp:revision>
  <dcterms:created xsi:type="dcterms:W3CDTF">2026-06-09T20:36:54Z</dcterms:created>
  <dcterms:modified xsi:type="dcterms:W3CDTF">2026-06-09T20:49:28Z</dcterms:modified>
  <dc:language>en-US</dc:language>
</cp:coreProperties>
</file>